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nessa.ruama\Downloads\"/>
    </mc:Choice>
  </mc:AlternateContent>
  <bookViews>
    <workbookView xWindow="0" yWindow="0" windowWidth="28800" windowHeight="13005" activeTab="2"/>
  </bookViews>
  <sheets>
    <sheet name="Assets" sheetId="3" r:id="rId1"/>
    <sheet name="Base" sheetId="1" r:id="rId2"/>
    <sheet name="Cálculos" sheetId="4" r:id="rId3"/>
    <sheet name="Dashboard" sheetId="2" r:id="rId4"/>
  </sheets>
  <definedNames>
    <definedName name="_xlnm._FilterDatabase" localSheetId="1" hidden="1">Base!$A$1:$G$101</definedName>
    <definedName name="SegmentaçãodeDados_Mês">#N/A</definedName>
  </definedNames>
  <calcPr calcId="152511"/>
  <pivotCaches>
    <pivotCache cacheId="1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J22" i="4" l="1"/>
  <c r="E33" i="4"/>
  <c r="E10" i="4" l="1"/>
</calcChain>
</file>

<file path=xl/sharedStrings.xml><?xml version="1.0" encoding="utf-8"?>
<sst xmlns="http://schemas.openxmlformats.org/spreadsheetml/2006/main" count="545" uniqueCount="39">
  <si>
    <t>Data da Venda</t>
  </si>
  <si>
    <t>Vendedor</t>
  </si>
  <si>
    <t>Plano</t>
  </si>
  <si>
    <t>Valor Mensal (R$)</t>
  </si>
  <si>
    <t>Canal de Venda</t>
  </si>
  <si>
    <t>Região</t>
  </si>
  <si>
    <t>Carla Souza</t>
  </si>
  <si>
    <t>TIM Pré Top</t>
  </si>
  <si>
    <t>Site Oficial</t>
  </si>
  <si>
    <t>Sudeste</t>
  </si>
  <si>
    <t>Diego Lima</t>
  </si>
  <si>
    <t>TIM Black</t>
  </si>
  <si>
    <t>TIM Black Família</t>
  </si>
  <si>
    <t>App Meu TIM</t>
  </si>
  <si>
    <t>Norte</t>
  </si>
  <si>
    <t>Ana Silva</t>
  </si>
  <si>
    <t>Sul</t>
  </si>
  <si>
    <t>TIM Controle</t>
  </si>
  <si>
    <t>Centro-Oeste</t>
  </si>
  <si>
    <t>Loja Física</t>
  </si>
  <si>
    <t>Bruno Costa</t>
  </si>
  <si>
    <t>Nordeste</t>
  </si>
  <si>
    <t>Elena Rocha</t>
  </si>
  <si>
    <t>Teleatendimento</t>
  </si>
  <si>
    <t>Rótulos de Linha</t>
  </si>
  <si>
    <t>Total Geral</t>
  </si>
  <si>
    <t>Soma de Valor Mensal (R$)</t>
  </si>
  <si>
    <r>
      <t xml:space="preserve">              </t>
    </r>
    <r>
      <rPr>
        <b/>
        <sz val="15"/>
        <color theme="3" tint="-0.249977111117893"/>
        <rFont val="Sergoe Ui"/>
      </rPr>
      <t>VENDAS DE PLANOS POR MÊS</t>
    </r>
  </si>
  <si>
    <t>Rótulos de Coluna</t>
  </si>
  <si>
    <t>Mês</t>
  </si>
  <si>
    <t>Janeiro</t>
  </si>
  <si>
    <t>Fevereiro</t>
  </si>
  <si>
    <t>Março</t>
  </si>
  <si>
    <t>Abril</t>
  </si>
  <si>
    <t>Maio</t>
  </si>
  <si>
    <t>Pergunta 1 - Total de vendas por mês</t>
  </si>
  <si>
    <t>Pergunta 2 - Melhor vendedor no mês</t>
  </si>
  <si>
    <t>Contagem de Valor Mensal (R$)</t>
  </si>
  <si>
    <t>Pergunta 3 - Total de planos por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</si>
</sst>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yyyy\-mm\-dd\ hh:mm:ss"/>
  </numFmts>
  <fonts count="8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5"/>
      <color rgb="FF22C55E"/>
      <name val="Sergoe Ui"/>
    </font>
    <font>
      <u/>
      <sz val="11"/>
      <color theme="1"/>
      <name val="Calibri"/>
      <family val="2"/>
      <scheme val="minor"/>
    </font>
    <font>
      <b/>
      <sz val="15"/>
      <color theme="3" tint="-0.249977111117893"/>
      <name val="Sergoe U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8E6E9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3" tint="0.39994506668294322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" fillId="0" borderId="2" applyNumberFormat="0" applyFill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Fill="1"/>
    <xf numFmtId="0" fontId="0" fillId="2" borderId="0" xfId="0" applyFill="1"/>
    <xf numFmtId="0" fontId="5" fillId="2" borderId="0" xfId="0" applyFont="1" applyFill="1"/>
    <xf numFmtId="0" fontId="0" fillId="3" borderId="0" xfId="0" applyFill="1"/>
    <xf numFmtId="0" fontId="4" fillId="0" borderId="3" xfId="2" applyFont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1" applyFont="1"/>
    <xf numFmtId="44" fontId="1" fillId="0" borderId="1" xfId="1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</cellXfs>
  <cellStyles count="3">
    <cellStyle name="Moeda" xfId="1" builtinId="4"/>
    <cellStyle name="Normal" xfId="0" builtinId="0"/>
    <cellStyle name="Título 1" xfId="2" builtinId="16"/>
  </cellStyles>
  <dxfs count="2">
    <dxf>
      <font>
        <b/>
        <i val="0"/>
        <color theme="0"/>
      </font>
      <border>
        <bottom style="thin">
          <color theme="3" tint="-0.24994659260841701"/>
        </bottom>
        <vertical/>
        <horizontal/>
      </border>
    </dxf>
    <dxf>
      <font>
        <color theme="1"/>
      </font>
      <fill>
        <patternFill>
          <bgColor theme="3" tint="-0.2499465926084170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9" defaultPivotStyle="PivotStyleLight16">
    <tableStyle name="SlicerStyleLight6 2" pivot="0" table="0" count="10">
      <tableStyleElement type="wholeTable" dxfId="1"/>
      <tableStyleElement type="headerRow" dxfId="0"/>
    </tableStyle>
  </tableStyles>
  <colors>
    <mruColors>
      <color rgb="FF0066FF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patternFill patternType="solid">
              <fgColor auto="1"/>
              <bgColor rgb="FF7030A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7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3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5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5117038483843"/>
              <bgColor theme="5" tint="0.3999450666829432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3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[dados_vendas_tim_ficticio.xlsx]Cálculos!Tabela dinâmica1</c:name>
    <c:fmtId val="9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9.0050124431497E-2"/>
          <c:y val="0.17171296296296298"/>
          <c:w val="0.84512212112896079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Cálculos!$C$28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Cálculos!$B$29:$B$33</c:f>
              <c:strCache>
                <c:ptCount val="4"/>
                <c:pt idx="0">
                  <c:v>TIM Black</c:v>
                </c:pt>
                <c:pt idx="1">
                  <c:v>TIM Black Família</c:v>
                </c:pt>
                <c:pt idx="2">
                  <c:v>TIM Controle</c:v>
                </c:pt>
                <c:pt idx="3">
                  <c:v>TIM Pré Top</c:v>
                </c:pt>
              </c:strCache>
            </c:strRef>
          </c:cat>
          <c:val>
            <c:numRef>
              <c:f>Cálculos!$C$29:$C$33</c:f>
              <c:numCache>
                <c:formatCode>General</c:formatCode>
                <c:ptCount val="4"/>
                <c:pt idx="0">
                  <c:v>6</c:v>
                </c:pt>
                <c:pt idx="1">
                  <c:v>1</c:v>
                </c:pt>
                <c:pt idx="2">
                  <c:v>11</c:v>
                </c:pt>
                <c:pt idx="3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8931328"/>
        <c:axId val="2088932416"/>
      </c:barChart>
      <c:catAx>
        <c:axId val="208893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8932416"/>
        <c:crosses val="autoZero"/>
        <c:auto val="1"/>
        <c:lblAlgn val="ctr"/>
        <c:lblOffset val="100"/>
        <c:noMultiLvlLbl val="0"/>
      </c:catAx>
      <c:valAx>
        <c:axId val="2088932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8893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5</xdr:col>
      <xdr:colOff>304800</xdr:colOff>
      <xdr:row>14</xdr:row>
      <xdr:rowOff>38100</xdr:rowOff>
    </xdr:to>
    <xdr:pic>
      <xdr:nvPicPr>
        <xdr:cNvPr id="2" name="Imagem 1" descr="TIM Brasil | São Gonçalo RJ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"/>
          <a:ext cx="2133600" cy="213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542925</xdr:colOff>
      <xdr:row>0</xdr:row>
      <xdr:rowOff>133350</xdr:rowOff>
    </xdr:from>
    <xdr:to>
      <xdr:col>0</xdr:col>
      <xdr:colOff>1543050</xdr:colOff>
      <xdr:row>6</xdr:row>
      <xdr:rowOff>0</xdr:rowOff>
    </xdr:to>
    <xdr:pic>
      <xdr:nvPicPr>
        <xdr:cNvPr id="24" name="Imagem 23" descr="TIM Brasil | São Gonçalo RJ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33350"/>
          <a:ext cx="100012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114300</xdr:colOff>
      <xdr:row>7</xdr:row>
      <xdr:rowOff>116086</xdr:rowOff>
    </xdr:from>
    <xdr:to>
      <xdr:col>0</xdr:col>
      <xdr:colOff>1943100</xdr:colOff>
      <xdr:row>19</xdr:row>
      <xdr:rowOff>125611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Mê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1373386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57150</xdr:colOff>
      <xdr:row>15</xdr:row>
      <xdr:rowOff>182761</xdr:rowOff>
    </xdr:from>
    <xdr:to>
      <xdr:col>20</xdr:col>
      <xdr:colOff>0</xdr:colOff>
      <xdr:row>18</xdr:row>
      <xdr:rowOff>120203</xdr:rowOff>
    </xdr:to>
    <xdr:sp macro="" textlink="">
      <xdr:nvSpPr>
        <xdr:cNvPr id="29" name="Arredondar Retângulo no Mesmo Canto Lateral 28"/>
        <xdr:cNvSpPr/>
      </xdr:nvSpPr>
      <xdr:spPr>
        <a:xfrm>
          <a:off x="2409825" y="3192661"/>
          <a:ext cx="10668000" cy="508942"/>
        </a:xfrm>
        <a:prstGeom prst="round2Same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QUANTIDADE DE PLANOS VENDIDOS POR MÊS</a:t>
          </a:r>
        </a:p>
      </xdr:txBody>
    </xdr:sp>
    <xdr:clientData/>
  </xdr:twoCellAnchor>
  <xdr:twoCellAnchor>
    <xdr:from>
      <xdr:col>11</xdr:col>
      <xdr:colOff>128587</xdr:colOff>
      <xdr:row>7</xdr:row>
      <xdr:rowOff>39886</xdr:rowOff>
    </xdr:from>
    <xdr:to>
      <xdr:col>19</xdr:col>
      <xdr:colOff>466724</xdr:colOff>
      <xdr:row>14</xdr:row>
      <xdr:rowOff>99417</xdr:rowOff>
    </xdr:to>
    <xdr:grpSp>
      <xdr:nvGrpSpPr>
        <xdr:cNvPr id="6" name="Grupo 5"/>
        <xdr:cNvGrpSpPr/>
      </xdr:nvGrpSpPr>
      <xdr:grpSpPr>
        <a:xfrm>
          <a:off x="7967662" y="1297186"/>
          <a:ext cx="5110162" cy="1621631"/>
          <a:chOff x="7967662" y="1297186"/>
          <a:chExt cx="5110162" cy="1621631"/>
        </a:xfrm>
      </xdr:grpSpPr>
      <xdr:grpSp>
        <xdr:nvGrpSpPr>
          <xdr:cNvPr id="4" name="Grupo 3"/>
          <xdr:cNvGrpSpPr/>
        </xdr:nvGrpSpPr>
        <xdr:grpSpPr>
          <a:xfrm>
            <a:off x="7967662" y="1297186"/>
            <a:ext cx="5110162" cy="1621631"/>
            <a:chOff x="2416969" y="1273969"/>
            <a:chExt cx="6965156" cy="1547812"/>
          </a:xfrm>
        </xdr:grpSpPr>
        <xdr:sp macro="" textlink="">
          <xdr:nvSpPr>
            <xdr:cNvPr id="8" name="Retângulo de cantos arredondados 7"/>
            <xdr:cNvSpPr/>
          </xdr:nvSpPr>
          <xdr:spPr>
            <a:xfrm>
              <a:off x="2416969" y="1476375"/>
              <a:ext cx="6965156" cy="1345406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0" name="Arredondar Retângulo no Mesmo Canto Lateral 9"/>
            <xdr:cNvSpPr/>
          </xdr:nvSpPr>
          <xdr:spPr>
            <a:xfrm>
              <a:off x="2428875" y="1273969"/>
              <a:ext cx="6953250" cy="485774"/>
            </a:xfrm>
            <a:prstGeom prst="round2SameRect">
              <a:avLst/>
            </a:prstGeom>
            <a:solidFill>
              <a:schemeClr val="tx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>
                  <a:latin typeface="Segoe UI" panose="020B0502040204020203" pitchFamily="34" charset="0"/>
                  <a:cs typeface="Segoe UI" panose="020B0502040204020203" pitchFamily="34" charset="0"/>
                </a:rPr>
                <a:t>MELHOR</a:t>
              </a:r>
              <a:r>
                <a:rPr lang="pt-BR" sz="1400" baseline="0">
                  <a:latin typeface="Segoe UI" panose="020B0502040204020203" pitchFamily="34" charset="0"/>
                  <a:cs typeface="Segoe UI" panose="020B0502040204020203" pitchFamily="34" charset="0"/>
                </a:rPr>
                <a:t> VENDEDOR NO MÊS</a:t>
              </a:r>
              <a:endParaRPr lang="pt-BR" sz="14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Cálculos!J22">
        <xdr:nvSpPr>
          <xdr:cNvPr id="3" name="Retângulo 2"/>
          <xdr:cNvSpPr/>
        </xdr:nvSpPr>
        <xdr:spPr>
          <a:xfrm>
            <a:off x="8543925" y="2114550"/>
            <a:ext cx="3952875" cy="5429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67646FC-0460-4488-9D5D-9242D80E9617}" type="TxLink">
              <a:rPr lang="en-US" sz="16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Ana Silva</a:t>
            </a:fld>
            <a:endParaRPr lang="pt-BR" sz="1600" b="1"/>
          </a:p>
        </xdr:txBody>
      </xdr:sp>
    </xdr:grpSp>
    <xdr:clientData/>
  </xdr:twoCellAnchor>
  <xdr:twoCellAnchor>
    <xdr:from>
      <xdr:col>2</xdr:col>
      <xdr:colOff>85725</xdr:colOff>
      <xdr:row>7</xdr:row>
      <xdr:rowOff>39886</xdr:rowOff>
    </xdr:from>
    <xdr:to>
      <xdr:col>10</xdr:col>
      <xdr:colOff>319087</xdr:colOff>
      <xdr:row>14</xdr:row>
      <xdr:rowOff>99417</xdr:rowOff>
    </xdr:to>
    <xdr:grpSp>
      <xdr:nvGrpSpPr>
        <xdr:cNvPr id="5" name="Grupo 4"/>
        <xdr:cNvGrpSpPr/>
      </xdr:nvGrpSpPr>
      <xdr:grpSpPr>
        <a:xfrm>
          <a:off x="2438400" y="1297186"/>
          <a:ext cx="5110162" cy="1621631"/>
          <a:chOff x="2438400" y="1297186"/>
          <a:chExt cx="5110162" cy="1621631"/>
        </a:xfrm>
      </xdr:grpSpPr>
      <xdr:grpSp>
        <xdr:nvGrpSpPr>
          <xdr:cNvPr id="16" name="Grupo 15"/>
          <xdr:cNvGrpSpPr/>
        </xdr:nvGrpSpPr>
        <xdr:grpSpPr>
          <a:xfrm>
            <a:off x="2438400" y="1297186"/>
            <a:ext cx="5110162" cy="1621631"/>
            <a:chOff x="2416969" y="1273969"/>
            <a:chExt cx="6965156" cy="1547812"/>
          </a:xfrm>
        </xdr:grpSpPr>
        <xdr:sp macro="" textlink="">
          <xdr:nvSpPr>
            <xdr:cNvPr id="17" name="Retângulo de cantos arredondados 16"/>
            <xdr:cNvSpPr/>
          </xdr:nvSpPr>
          <xdr:spPr>
            <a:xfrm>
              <a:off x="2416969" y="1476375"/>
              <a:ext cx="6965156" cy="1345406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9" name="Arredondar Retângulo no Mesmo Canto Lateral 18"/>
            <xdr:cNvSpPr/>
          </xdr:nvSpPr>
          <xdr:spPr>
            <a:xfrm>
              <a:off x="2428875" y="1273969"/>
              <a:ext cx="6953250" cy="485774"/>
            </a:xfrm>
            <a:prstGeom prst="round2SameRect">
              <a:avLst/>
            </a:prstGeom>
            <a:solidFill>
              <a:schemeClr val="tx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>
                  <a:latin typeface="Segoe UI" panose="020B0502040204020203" pitchFamily="34" charset="0"/>
                  <a:cs typeface="Segoe UI" panose="020B0502040204020203" pitchFamily="34" charset="0"/>
                </a:rPr>
                <a:t>TOTAL DE VENDAS NO MÊS</a:t>
              </a:r>
            </a:p>
          </xdr:txBody>
        </xdr:sp>
      </xdr:grpSp>
      <xdr:sp macro="" textlink="Cálculos!E10">
        <xdr:nvSpPr>
          <xdr:cNvPr id="15" name="Retângulo 14"/>
          <xdr:cNvSpPr/>
        </xdr:nvSpPr>
        <xdr:spPr>
          <a:xfrm>
            <a:off x="2981325" y="2105025"/>
            <a:ext cx="3952875" cy="5429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AA3DC1A-2727-4CC3-95DD-D082A3E34076}" type="TxLink">
              <a:rPr lang="en-US" sz="16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 R$ 1.674,82 </a:t>
            </a:fld>
            <a:endParaRPr lang="pt-BR" sz="2400" b="1"/>
          </a:p>
        </xdr:txBody>
      </xdr:sp>
    </xdr:grpSp>
    <xdr:clientData/>
  </xdr:twoCellAnchor>
  <xdr:twoCellAnchor>
    <xdr:from>
      <xdr:col>2</xdr:col>
      <xdr:colOff>57150</xdr:colOff>
      <xdr:row>18</xdr:row>
      <xdr:rowOff>114300</xdr:rowOff>
    </xdr:from>
    <xdr:to>
      <xdr:col>19</xdr:col>
      <xdr:colOff>457200</xdr:colOff>
      <xdr:row>33</xdr:row>
      <xdr:rowOff>0</xdr:rowOff>
    </xdr:to>
    <xdr:graphicFrame macro="">
      <xdr:nvGraphicFramePr>
        <xdr:cNvPr id="18" name="Gráfico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ssa Ruama de Sousa Barros" refreshedDate="46162.85929641204" createdVersion="5" refreshedVersion="5" minRefreshableVersion="3" recordCount="100">
  <cacheSource type="worksheet">
    <worksheetSource ref="A1:G101" sheet="Base"/>
  </cacheSource>
  <cacheFields count="7">
    <cacheField name="Mês" numFmtId="0">
      <sharedItems count="5">
        <s v="Janeiro"/>
        <s v="Fevereiro"/>
        <s v="Março"/>
        <s v="Abril"/>
        <s v="Maio"/>
      </sharedItems>
    </cacheField>
    <cacheField name="Data da Venda" numFmtId="164">
      <sharedItems containsSemiMixedTypes="0" containsNonDate="0" containsDate="1" containsString="0" minDate="2026-01-02T00:00:00" maxDate="2026-05-20T00:00:00"/>
    </cacheField>
    <cacheField name="Vendedor" numFmtId="0">
      <sharedItems count="5">
        <s v="Carla Souza"/>
        <s v="Diego Lima"/>
        <s v="Ana Silva"/>
        <s v="Bruno Costa"/>
        <s v="Elena Rocha"/>
      </sharedItems>
    </cacheField>
    <cacheField name="Plano" numFmtId="0">
      <sharedItems count="4">
        <s v="TIM Pré Top"/>
        <s v="TIM Black"/>
        <s v="TIM Black Família"/>
        <s v="TIM Controle"/>
      </sharedItems>
    </cacheField>
    <cacheField name="Valor Mensal (R$)" numFmtId="44">
      <sharedItems containsSemiMixedTypes="0" containsString="0" containsNumber="1" minValue="30" maxValue="199.99"/>
    </cacheField>
    <cacheField name="Canal de Venda" numFmtId="0">
      <sharedItems/>
    </cacheField>
    <cacheField name="Região" numFmtId="0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d v="2026-01-02T00:00:00"/>
    <x v="0"/>
    <x v="0"/>
    <n v="30"/>
    <s v="Site Oficial"/>
    <s v="Sudeste"/>
  </r>
  <r>
    <x v="0"/>
    <d v="2026-01-02T00:00:00"/>
    <x v="1"/>
    <x v="1"/>
    <n v="109.99"/>
    <s v="Site Oficial"/>
    <s v="Sudeste"/>
  </r>
  <r>
    <x v="0"/>
    <d v="2026-01-04T00:00:00"/>
    <x v="1"/>
    <x v="2"/>
    <n v="199.99"/>
    <s v="App Meu TIM"/>
    <s v="Norte"/>
  </r>
  <r>
    <x v="0"/>
    <d v="2026-01-05T00:00:00"/>
    <x v="2"/>
    <x v="0"/>
    <n v="30"/>
    <s v="Site Oficial"/>
    <s v="Sul"/>
  </r>
  <r>
    <x v="0"/>
    <d v="2026-01-08T00:00:00"/>
    <x v="2"/>
    <x v="3"/>
    <n v="54.99"/>
    <s v="App Meu TIM"/>
    <s v="Norte"/>
  </r>
  <r>
    <x v="0"/>
    <d v="2026-01-09T00:00:00"/>
    <x v="2"/>
    <x v="1"/>
    <n v="109.99"/>
    <s v="App Meu TIM"/>
    <s v="Centro-Oeste"/>
  </r>
  <r>
    <x v="0"/>
    <d v="2026-01-09T00:00:00"/>
    <x v="0"/>
    <x v="2"/>
    <n v="199.99"/>
    <s v="Loja Física"/>
    <s v="Sul"/>
  </r>
  <r>
    <x v="0"/>
    <d v="2026-01-12T00:00:00"/>
    <x v="3"/>
    <x v="0"/>
    <n v="30"/>
    <s v="Site Oficial"/>
    <s v="Norte"/>
  </r>
  <r>
    <x v="0"/>
    <d v="2026-01-14T00:00:00"/>
    <x v="0"/>
    <x v="2"/>
    <n v="199.99"/>
    <s v="App Meu TIM"/>
    <s v="Nordeste"/>
  </r>
  <r>
    <x v="0"/>
    <d v="2026-01-14T00:00:00"/>
    <x v="4"/>
    <x v="2"/>
    <n v="199.99"/>
    <s v="App Meu TIM"/>
    <s v="Centro-Oeste"/>
  </r>
  <r>
    <x v="0"/>
    <d v="2026-01-15T00:00:00"/>
    <x v="4"/>
    <x v="0"/>
    <n v="30"/>
    <s v="Loja Física"/>
    <s v="Norte"/>
  </r>
  <r>
    <x v="0"/>
    <d v="2026-01-15T00:00:00"/>
    <x v="4"/>
    <x v="2"/>
    <n v="199.99"/>
    <s v="Teleatendimento"/>
    <s v="Nordeste"/>
  </r>
  <r>
    <x v="0"/>
    <d v="2026-01-15T00:00:00"/>
    <x v="4"/>
    <x v="2"/>
    <n v="199.99"/>
    <s v="Teleatendimento"/>
    <s v="Centro-Oeste"/>
  </r>
  <r>
    <x v="0"/>
    <d v="2026-01-15T00:00:00"/>
    <x v="4"/>
    <x v="0"/>
    <n v="30"/>
    <s v="App Meu TIM"/>
    <s v="Centro-Oeste"/>
  </r>
  <r>
    <x v="0"/>
    <d v="2026-01-18T00:00:00"/>
    <x v="2"/>
    <x v="0"/>
    <n v="30"/>
    <s v="Teleatendimento"/>
    <s v="Sul"/>
  </r>
  <r>
    <x v="0"/>
    <d v="2026-01-21T00:00:00"/>
    <x v="2"/>
    <x v="1"/>
    <n v="109.99"/>
    <s v="Loja Física"/>
    <s v="Nordeste"/>
  </r>
  <r>
    <x v="0"/>
    <d v="2026-01-21T00:00:00"/>
    <x v="2"/>
    <x v="2"/>
    <n v="199.99"/>
    <s v="Loja Física"/>
    <s v="Centro-Oeste"/>
  </r>
  <r>
    <x v="0"/>
    <d v="2026-01-21T00:00:00"/>
    <x v="0"/>
    <x v="2"/>
    <n v="199.99"/>
    <s v="Teleatendimento"/>
    <s v="Sul"/>
  </r>
  <r>
    <x v="0"/>
    <d v="2026-01-22T00:00:00"/>
    <x v="3"/>
    <x v="2"/>
    <n v="199.99"/>
    <s v="Teleatendimento"/>
    <s v="Sudeste"/>
  </r>
  <r>
    <x v="0"/>
    <d v="2026-01-24T00:00:00"/>
    <x v="1"/>
    <x v="2"/>
    <n v="199.99"/>
    <s v="Teleatendimento"/>
    <s v="Norte"/>
  </r>
  <r>
    <x v="0"/>
    <d v="2026-01-28T00:00:00"/>
    <x v="2"/>
    <x v="2"/>
    <n v="199.99"/>
    <s v="Teleatendimento"/>
    <s v="Sul"/>
  </r>
  <r>
    <x v="1"/>
    <d v="2026-02-02T00:00:00"/>
    <x v="3"/>
    <x v="0"/>
    <n v="30"/>
    <s v="App Meu TIM"/>
    <s v="Centro-Oeste"/>
  </r>
  <r>
    <x v="1"/>
    <d v="2026-02-02T00:00:00"/>
    <x v="3"/>
    <x v="1"/>
    <n v="109.99"/>
    <s v="Teleatendimento"/>
    <s v="Centro-Oeste"/>
  </r>
  <r>
    <x v="1"/>
    <d v="2026-02-04T00:00:00"/>
    <x v="3"/>
    <x v="1"/>
    <n v="109.99"/>
    <s v="Loja Física"/>
    <s v="Centro-Oeste"/>
  </r>
  <r>
    <x v="1"/>
    <d v="2026-02-04T00:00:00"/>
    <x v="4"/>
    <x v="3"/>
    <n v="54.99"/>
    <s v="App Meu TIM"/>
    <s v="Sudeste"/>
  </r>
  <r>
    <x v="1"/>
    <d v="2026-02-06T00:00:00"/>
    <x v="2"/>
    <x v="3"/>
    <n v="54.99"/>
    <s v="App Meu TIM"/>
    <s v="Centro-Oeste"/>
  </r>
  <r>
    <x v="1"/>
    <d v="2026-02-07T00:00:00"/>
    <x v="2"/>
    <x v="3"/>
    <n v="54.99"/>
    <s v="Loja Física"/>
    <s v="Sul"/>
  </r>
  <r>
    <x v="1"/>
    <d v="2026-02-09T00:00:00"/>
    <x v="4"/>
    <x v="1"/>
    <n v="109.99"/>
    <s v="Teleatendimento"/>
    <s v="Norte"/>
  </r>
  <r>
    <x v="1"/>
    <d v="2026-02-10T00:00:00"/>
    <x v="2"/>
    <x v="2"/>
    <n v="199.99"/>
    <s v="Teleatendimento"/>
    <s v="Nordeste"/>
  </r>
  <r>
    <x v="1"/>
    <d v="2026-02-10T00:00:00"/>
    <x v="1"/>
    <x v="3"/>
    <n v="54.99"/>
    <s v="Loja Física"/>
    <s v="Centro-Oeste"/>
  </r>
  <r>
    <x v="1"/>
    <d v="2026-02-13T00:00:00"/>
    <x v="4"/>
    <x v="1"/>
    <n v="109.99"/>
    <s v="Teleatendimento"/>
    <s v="Norte"/>
  </r>
  <r>
    <x v="1"/>
    <d v="2026-02-14T00:00:00"/>
    <x v="4"/>
    <x v="3"/>
    <n v="54.99"/>
    <s v="App Meu TIM"/>
    <s v="Centro-Oeste"/>
  </r>
  <r>
    <x v="1"/>
    <d v="2026-02-17T00:00:00"/>
    <x v="0"/>
    <x v="3"/>
    <n v="54.99"/>
    <s v="Loja Física"/>
    <s v="Sul"/>
  </r>
  <r>
    <x v="1"/>
    <d v="2026-02-17T00:00:00"/>
    <x v="2"/>
    <x v="3"/>
    <n v="54.99"/>
    <s v="Site Oficial"/>
    <s v="Sul"/>
  </r>
  <r>
    <x v="1"/>
    <d v="2026-02-18T00:00:00"/>
    <x v="3"/>
    <x v="0"/>
    <n v="30"/>
    <s v="Site Oficial"/>
    <s v="Centro-Oeste"/>
  </r>
  <r>
    <x v="1"/>
    <d v="2026-02-19T00:00:00"/>
    <x v="4"/>
    <x v="0"/>
    <n v="30"/>
    <s v="Loja Física"/>
    <s v="Sul"/>
  </r>
  <r>
    <x v="1"/>
    <d v="2026-02-20T00:00:00"/>
    <x v="4"/>
    <x v="3"/>
    <n v="54.99"/>
    <s v="App Meu TIM"/>
    <s v="Centro-Oeste"/>
  </r>
  <r>
    <x v="1"/>
    <d v="2026-02-20T00:00:00"/>
    <x v="2"/>
    <x v="0"/>
    <n v="30"/>
    <s v="Site Oficial"/>
    <s v="Norte"/>
  </r>
  <r>
    <x v="1"/>
    <d v="2026-02-22T00:00:00"/>
    <x v="0"/>
    <x v="0"/>
    <n v="30"/>
    <s v="Site Oficial"/>
    <s v="Norte"/>
  </r>
  <r>
    <x v="1"/>
    <d v="2026-02-22T00:00:00"/>
    <x v="0"/>
    <x v="3"/>
    <n v="54.99"/>
    <s v="App Meu TIM"/>
    <s v="Centro-Oeste"/>
  </r>
  <r>
    <x v="1"/>
    <d v="2026-02-22T00:00:00"/>
    <x v="1"/>
    <x v="1"/>
    <n v="109.99"/>
    <s v="App Meu TIM"/>
    <s v="Sul"/>
  </r>
  <r>
    <x v="1"/>
    <d v="2026-02-23T00:00:00"/>
    <x v="4"/>
    <x v="0"/>
    <n v="30"/>
    <s v="App Meu TIM"/>
    <s v="Norte"/>
  </r>
  <r>
    <x v="1"/>
    <d v="2026-02-23T00:00:00"/>
    <x v="2"/>
    <x v="1"/>
    <n v="109.99"/>
    <s v="Loja Física"/>
    <s v="Norte"/>
  </r>
  <r>
    <x v="1"/>
    <d v="2026-02-24T00:00:00"/>
    <x v="2"/>
    <x v="3"/>
    <n v="54.99"/>
    <s v="Site Oficial"/>
    <s v="Norte"/>
  </r>
  <r>
    <x v="1"/>
    <d v="2026-02-27T00:00:00"/>
    <x v="4"/>
    <x v="0"/>
    <n v="30"/>
    <s v="Loja Física"/>
    <s v="Norte"/>
  </r>
  <r>
    <x v="1"/>
    <d v="2026-02-28T00:00:00"/>
    <x v="0"/>
    <x v="3"/>
    <n v="54.99"/>
    <s v="Loja Física"/>
    <s v="Centro-Oeste"/>
  </r>
  <r>
    <x v="2"/>
    <d v="2026-03-01T00:00:00"/>
    <x v="0"/>
    <x v="2"/>
    <n v="199.99"/>
    <s v="Site Oficial"/>
    <s v="Nordeste"/>
  </r>
  <r>
    <x v="2"/>
    <d v="2026-03-03T00:00:00"/>
    <x v="3"/>
    <x v="0"/>
    <n v="30"/>
    <s v="App Meu TIM"/>
    <s v="Sudeste"/>
  </r>
  <r>
    <x v="2"/>
    <d v="2026-03-04T00:00:00"/>
    <x v="3"/>
    <x v="1"/>
    <n v="109.99"/>
    <s v="Loja Física"/>
    <s v="Sul"/>
  </r>
  <r>
    <x v="2"/>
    <d v="2026-03-05T00:00:00"/>
    <x v="1"/>
    <x v="2"/>
    <n v="199.99"/>
    <s v="App Meu TIM"/>
    <s v="Centro-Oeste"/>
  </r>
  <r>
    <x v="2"/>
    <d v="2026-03-06T00:00:00"/>
    <x v="2"/>
    <x v="3"/>
    <n v="54.99"/>
    <s v="App Meu TIM"/>
    <s v="Sul"/>
  </r>
  <r>
    <x v="2"/>
    <d v="2026-03-12T00:00:00"/>
    <x v="3"/>
    <x v="2"/>
    <n v="199.99"/>
    <s v="Site Oficial"/>
    <s v="Norte"/>
  </r>
  <r>
    <x v="2"/>
    <d v="2026-03-13T00:00:00"/>
    <x v="2"/>
    <x v="3"/>
    <n v="54.99"/>
    <s v="Teleatendimento"/>
    <s v="Centro-Oeste"/>
  </r>
  <r>
    <x v="2"/>
    <d v="2026-03-13T00:00:00"/>
    <x v="4"/>
    <x v="0"/>
    <n v="30"/>
    <s v="App Meu TIM"/>
    <s v="Norte"/>
  </r>
  <r>
    <x v="2"/>
    <d v="2026-03-14T00:00:00"/>
    <x v="2"/>
    <x v="3"/>
    <n v="54.99"/>
    <s v="App Meu TIM"/>
    <s v="Centro-Oeste"/>
  </r>
  <r>
    <x v="2"/>
    <d v="2026-03-16T00:00:00"/>
    <x v="0"/>
    <x v="1"/>
    <n v="109.99"/>
    <s v="App Meu TIM"/>
    <s v="Sul"/>
  </r>
  <r>
    <x v="2"/>
    <d v="2026-03-22T00:00:00"/>
    <x v="0"/>
    <x v="3"/>
    <n v="54.99"/>
    <s v="Site Oficial"/>
    <s v="Centro-Oeste"/>
  </r>
  <r>
    <x v="2"/>
    <d v="2026-03-22T00:00:00"/>
    <x v="1"/>
    <x v="1"/>
    <n v="109.99"/>
    <s v="Loja Física"/>
    <s v="Sul"/>
  </r>
  <r>
    <x v="2"/>
    <d v="2026-03-23T00:00:00"/>
    <x v="2"/>
    <x v="3"/>
    <n v="54.99"/>
    <s v="Teleatendimento"/>
    <s v="Sudeste"/>
  </r>
  <r>
    <x v="2"/>
    <d v="2026-03-25T00:00:00"/>
    <x v="4"/>
    <x v="1"/>
    <n v="109.99"/>
    <s v="Site Oficial"/>
    <s v="Norte"/>
  </r>
  <r>
    <x v="2"/>
    <d v="2026-03-29T00:00:00"/>
    <x v="3"/>
    <x v="0"/>
    <n v="30"/>
    <s v="Loja Física"/>
    <s v="Sudeste"/>
  </r>
  <r>
    <x v="2"/>
    <d v="2026-03-29T00:00:00"/>
    <x v="1"/>
    <x v="2"/>
    <n v="199.99"/>
    <s v="Loja Física"/>
    <s v="Nordeste"/>
  </r>
  <r>
    <x v="2"/>
    <d v="2026-03-29T00:00:00"/>
    <x v="0"/>
    <x v="0"/>
    <n v="30"/>
    <s v="Teleatendimento"/>
    <s v="Centro-Oeste"/>
  </r>
  <r>
    <x v="2"/>
    <d v="2026-03-30T00:00:00"/>
    <x v="0"/>
    <x v="0"/>
    <n v="30"/>
    <s v="Teleatendimento"/>
    <s v="Sudeste"/>
  </r>
  <r>
    <x v="2"/>
    <d v="2026-03-30T00:00:00"/>
    <x v="3"/>
    <x v="3"/>
    <n v="54.99"/>
    <s v="Site Oficial"/>
    <s v="Norte"/>
  </r>
  <r>
    <x v="2"/>
    <d v="2026-03-30T00:00:00"/>
    <x v="0"/>
    <x v="2"/>
    <n v="199.99"/>
    <s v="Teleatendimento"/>
    <s v="Sul"/>
  </r>
  <r>
    <x v="2"/>
    <d v="2026-03-31T00:00:00"/>
    <x v="0"/>
    <x v="1"/>
    <n v="109.99"/>
    <s v="App Meu TIM"/>
    <s v="Sul"/>
  </r>
  <r>
    <x v="3"/>
    <d v="2026-04-02T00:00:00"/>
    <x v="2"/>
    <x v="3"/>
    <n v="54.99"/>
    <s v="Teleatendimento"/>
    <s v="Sudeste"/>
  </r>
  <r>
    <x v="3"/>
    <d v="2026-04-03T00:00:00"/>
    <x v="4"/>
    <x v="1"/>
    <n v="109.99"/>
    <s v="Site Oficial"/>
    <s v="Norte"/>
  </r>
  <r>
    <x v="3"/>
    <d v="2026-04-05T00:00:00"/>
    <x v="1"/>
    <x v="0"/>
    <n v="30"/>
    <s v="Teleatendimento"/>
    <s v="Centro-Oeste"/>
  </r>
  <r>
    <x v="3"/>
    <d v="2026-04-09T00:00:00"/>
    <x v="4"/>
    <x v="1"/>
    <n v="109.99"/>
    <s v="Loja Física"/>
    <s v="Nordeste"/>
  </r>
  <r>
    <x v="3"/>
    <d v="2026-04-10T00:00:00"/>
    <x v="1"/>
    <x v="3"/>
    <n v="54.99"/>
    <s v="Loja Física"/>
    <s v="Sul"/>
  </r>
  <r>
    <x v="3"/>
    <d v="2026-04-11T00:00:00"/>
    <x v="2"/>
    <x v="0"/>
    <n v="30"/>
    <s v="App Meu TIM"/>
    <s v="Sul"/>
  </r>
  <r>
    <x v="3"/>
    <d v="2026-04-13T00:00:00"/>
    <x v="1"/>
    <x v="2"/>
    <n v="199.99"/>
    <s v="App Meu TIM"/>
    <s v="Centro-Oeste"/>
  </r>
  <r>
    <x v="3"/>
    <d v="2026-04-13T00:00:00"/>
    <x v="0"/>
    <x v="2"/>
    <n v="199.99"/>
    <s v="Loja Física"/>
    <s v="Centro-Oeste"/>
  </r>
  <r>
    <x v="3"/>
    <d v="2026-04-14T00:00:00"/>
    <x v="1"/>
    <x v="3"/>
    <n v="54.99"/>
    <s v="Site Oficial"/>
    <s v="Centro-Oeste"/>
  </r>
  <r>
    <x v="3"/>
    <d v="2026-04-14T00:00:00"/>
    <x v="0"/>
    <x v="0"/>
    <n v="30"/>
    <s v="App Meu TIM"/>
    <s v="Sudeste"/>
  </r>
  <r>
    <x v="3"/>
    <d v="2026-04-14T00:00:00"/>
    <x v="0"/>
    <x v="2"/>
    <n v="199.99"/>
    <s v="Site Oficial"/>
    <s v="Norte"/>
  </r>
  <r>
    <x v="3"/>
    <d v="2026-04-16T00:00:00"/>
    <x v="1"/>
    <x v="1"/>
    <n v="109.99"/>
    <s v="Teleatendimento"/>
    <s v="Sudeste"/>
  </r>
  <r>
    <x v="3"/>
    <d v="2026-04-17T00:00:00"/>
    <x v="0"/>
    <x v="3"/>
    <n v="54.99"/>
    <s v="Site Oficial"/>
    <s v="Sudeste"/>
  </r>
  <r>
    <x v="3"/>
    <d v="2026-04-18T00:00:00"/>
    <x v="1"/>
    <x v="1"/>
    <n v="109.99"/>
    <s v="App Meu TIM"/>
    <s v="Centro-Oeste"/>
  </r>
  <r>
    <x v="3"/>
    <d v="2026-04-21T00:00:00"/>
    <x v="4"/>
    <x v="3"/>
    <n v="54.99"/>
    <s v="App Meu TIM"/>
    <s v="Norte"/>
  </r>
  <r>
    <x v="3"/>
    <d v="2026-04-21T00:00:00"/>
    <x v="1"/>
    <x v="1"/>
    <n v="109.99"/>
    <s v="Teleatendimento"/>
    <s v="Centro-Oeste"/>
  </r>
  <r>
    <x v="3"/>
    <d v="2026-04-27T00:00:00"/>
    <x v="2"/>
    <x v="2"/>
    <n v="199.99"/>
    <s v="Teleatendimento"/>
    <s v="Sudeste"/>
  </r>
  <r>
    <x v="4"/>
    <d v="2026-05-02T00:00:00"/>
    <x v="0"/>
    <x v="2"/>
    <n v="199.99"/>
    <s v="Loja Física"/>
    <s v="Sul"/>
  </r>
  <r>
    <x v="4"/>
    <d v="2026-05-03T00:00:00"/>
    <x v="3"/>
    <x v="0"/>
    <n v="30"/>
    <s v="Site Oficial"/>
    <s v="Sul"/>
  </r>
  <r>
    <x v="4"/>
    <d v="2026-05-04T00:00:00"/>
    <x v="2"/>
    <x v="1"/>
    <n v="109.99"/>
    <s v="App Meu TIM"/>
    <s v="Sudeste"/>
  </r>
  <r>
    <x v="4"/>
    <d v="2026-05-09T00:00:00"/>
    <x v="3"/>
    <x v="2"/>
    <n v="199.99"/>
    <s v="Teleatendimento"/>
    <s v="Norte"/>
  </r>
  <r>
    <x v="4"/>
    <d v="2026-05-10T00:00:00"/>
    <x v="3"/>
    <x v="1"/>
    <n v="109.99"/>
    <s v="Site Oficial"/>
    <s v="Sul"/>
  </r>
  <r>
    <x v="4"/>
    <d v="2026-05-10T00:00:00"/>
    <x v="0"/>
    <x v="2"/>
    <n v="199.99"/>
    <s v="App Meu TIM"/>
    <s v="Nordeste"/>
  </r>
  <r>
    <x v="4"/>
    <d v="2026-05-11T00:00:00"/>
    <x v="2"/>
    <x v="2"/>
    <n v="199.99"/>
    <s v="Site Oficial"/>
    <s v="Sul"/>
  </r>
  <r>
    <x v="4"/>
    <d v="2026-05-11T00:00:00"/>
    <x v="2"/>
    <x v="2"/>
    <n v="199.99"/>
    <s v="Teleatendimento"/>
    <s v="Nordeste"/>
  </r>
  <r>
    <x v="4"/>
    <d v="2026-05-12T00:00:00"/>
    <x v="1"/>
    <x v="3"/>
    <n v="54.99"/>
    <s v="Loja Física"/>
    <s v="Nordeste"/>
  </r>
  <r>
    <x v="4"/>
    <d v="2026-05-12T00:00:00"/>
    <x v="1"/>
    <x v="0"/>
    <n v="30"/>
    <s v="Teleatendimento"/>
    <s v="Sul"/>
  </r>
  <r>
    <x v="4"/>
    <d v="2026-05-14T00:00:00"/>
    <x v="2"/>
    <x v="0"/>
    <n v="30"/>
    <s v="App Meu TIM"/>
    <s v="Norte"/>
  </r>
  <r>
    <x v="4"/>
    <d v="2026-05-15T00:00:00"/>
    <x v="0"/>
    <x v="1"/>
    <n v="109.99"/>
    <s v="App Meu TIM"/>
    <s v="Sudeste"/>
  </r>
  <r>
    <x v="4"/>
    <d v="2026-05-15T00:00:00"/>
    <x v="1"/>
    <x v="2"/>
    <n v="199.99"/>
    <s v="Teleatendimento"/>
    <s v="Norte"/>
  </r>
  <r>
    <x v="4"/>
    <d v="2026-05-16T00:00:00"/>
    <x v="0"/>
    <x v="3"/>
    <n v="54.99"/>
    <s v="App Meu TIM"/>
    <s v="Sul"/>
  </r>
  <r>
    <x v="4"/>
    <d v="2026-05-16T00:00:00"/>
    <x v="3"/>
    <x v="2"/>
    <n v="199.99"/>
    <s v="Teleatendimento"/>
    <s v="Sul"/>
  </r>
  <r>
    <x v="4"/>
    <d v="2026-05-19T00:00:00"/>
    <x v="3"/>
    <x v="3"/>
    <n v="54.99"/>
    <s v="Loja Física"/>
    <s v="Nor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0">
  <location ref="B28:C33" firstHeaderRow="1" firstDataRow="1" firstDataCol="1" rowPageCount="1" colPageCount="1"/>
  <pivotFields count="7">
    <pivotField axis="axisPage" showAll="0">
      <items count="6">
        <item x="0"/>
        <item x="1"/>
        <item x="2"/>
        <item x="3"/>
        <item x="4"/>
        <item t="default"/>
      </items>
    </pivotField>
    <pivotField numFmtId="164" showAll="0"/>
    <pivotField showAll="0"/>
    <pivotField axis="axisRow" showAll="0">
      <items count="5">
        <item x="1"/>
        <item x="2"/>
        <item x="3"/>
        <item x="0"/>
        <item t="default"/>
      </items>
    </pivotField>
    <pivotField dataField="1" numFmtId="44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item="1" hier="-1"/>
  </pageFields>
  <dataFields count="1">
    <dataField name="Contagem de Valor Mensal (R$)" fld="4" subtotal="count" baseField="3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1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6">
  <location ref="B5:C10" firstHeaderRow="1" firstDataRow="1" firstDataCol="1" rowPageCount="1" colPageCount="1"/>
  <pivotFields count="7">
    <pivotField axis="axisPage" showAll="0">
      <items count="6">
        <item x="0"/>
        <item x="1"/>
        <item x="2"/>
        <item x="3"/>
        <item x="4"/>
        <item t="default"/>
      </items>
    </pivotField>
    <pivotField numFmtId="164" showAll="0"/>
    <pivotField showAll="0"/>
    <pivotField axis="axisRow" showAll="0">
      <items count="5">
        <item x="1"/>
        <item x="2"/>
        <item x="3"/>
        <item x="0"/>
        <item t="default"/>
      </items>
    </pivotField>
    <pivotField dataField="1" numFmtId="44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item="1" hier="-1"/>
  </pageFields>
  <dataFields count="1">
    <dataField name="Soma de Valor Mensal (R$)" fld="4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2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6">
  <location ref="B16:H22" firstHeaderRow="1" firstDataRow="2" firstDataCol="1" rowPageCount="1" colPageCount="1"/>
  <pivotFields count="7">
    <pivotField axis="axisPage" showAll="0">
      <items count="6">
        <item x="0"/>
        <item x="1"/>
        <item x="2"/>
        <item x="3"/>
        <item x="4"/>
        <item t="default"/>
      </items>
    </pivotField>
    <pivotField numFmtId="164" showAll="0"/>
    <pivotField axis="axisCol" showAll="0">
      <items count="6">
        <item x="2"/>
        <item x="3"/>
        <item x="0"/>
        <item x="1"/>
        <item x="4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dataField="1" numFmtId="44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item="1" hier="-1"/>
  </pageFields>
  <dataFields count="1">
    <dataField name="Soma de Valor Mensal (R$)" fld="4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Mês" sourceName="Mês">
  <pivotTables>
    <pivotTable tabId="4" name="Tabela dinâmica11"/>
    <pivotTable tabId="4" name="Tabela dinâmica12"/>
    <pivotTable tabId="4" name="Tabela dinâmica1"/>
  </pivotTables>
  <data>
    <tabular pivotCacheId="1">
      <items count="5">
        <i x="0"/>
        <i x="1" s="1"/>
        <i x="2"/>
        <i x="3"/>
        <i x="4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ês" cache="SegmentaçãodeDados_Mês" caption="Mês" style="SlicerStyleLight6 2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4" sqref="C4"/>
    </sheetView>
  </sheetViews>
  <sheetFormatPr defaultRowHeight="1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01"/>
  <sheetViews>
    <sheetView workbookViewId="0">
      <selection activeCell="D4" sqref="D4"/>
    </sheetView>
  </sheetViews>
  <sheetFormatPr defaultRowHeight="15"/>
  <cols>
    <col min="2" max="2" width="18.28515625" bestFit="1" customWidth="1"/>
    <col min="3" max="3" width="11.5703125" bestFit="1" customWidth="1"/>
    <col min="4" max="4" width="16.140625" bestFit="1" customWidth="1"/>
    <col min="5" max="5" width="21.140625" style="11" customWidth="1"/>
    <col min="6" max="6" width="16.5703125" bestFit="1" customWidth="1"/>
    <col min="7" max="7" width="13.140625" bestFit="1" customWidth="1"/>
  </cols>
  <sheetData>
    <row r="1" spans="1:7">
      <c r="A1" s="13" t="s">
        <v>29</v>
      </c>
      <c r="B1" s="1" t="s">
        <v>0</v>
      </c>
      <c r="C1" s="1" t="s">
        <v>1</v>
      </c>
      <c r="D1" s="1" t="s">
        <v>2</v>
      </c>
      <c r="E1" s="12" t="s">
        <v>3</v>
      </c>
      <c r="F1" s="1" t="s">
        <v>4</v>
      </c>
      <c r="G1" s="1" t="s">
        <v>5</v>
      </c>
    </row>
    <row r="2" spans="1:7">
      <c r="A2" t="s">
        <v>30</v>
      </c>
      <c r="B2" s="2">
        <v>46024</v>
      </c>
      <c r="C2" t="s">
        <v>6</v>
      </c>
      <c r="D2" t="s">
        <v>7</v>
      </c>
      <c r="E2" s="11">
        <v>30</v>
      </c>
      <c r="F2" t="s">
        <v>8</v>
      </c>
      <c r="G2" t="s">
        <v>9</v>
      </c>
    </row>
    <row r="3" spans="1:7" hidden="1">
      <c r="A3" t="s">
        <v>30</v>
      </c>
      <c r="B3" s="2">
        <v>46024</v>
      </c>
      <c r="C3" t="s">
        <v>10</v>
      </c>
      <c r="D3" t="s">
        <v>11</v>
      </c>
      <c r="E3" s="11">
        <v>109.99</v>
      </c>
      <c r="F3" t="s">
        <v>8</v>
      </c>
      <c r="G3" t="s">
        <v>9</v>
      </c>
    </row>
    <row r="4" spans="1:7" hidden="1">
      <c r="A4" t="s">
        <v>30</v>
      </c>
      <c r="B4" s="2">
        <v>46026</v>
      </c>
      <c r="C4" t="s">
        <v>10</v>
      </c>
      <c r="D4" t="s">
        <v>12</v>
      </c>
      <c r="E4" s="11">
        <v>199.99</v>
      </c>
      <c r="F4" t="s">
        <v>13</v>
      </c>
      <c r="G4" t="s">
        <v>14</v>
      </c>
    </row>
    <row r="5" spans="1:7">
      <c r="A5" t="s">
        <v>30</v>
      </c>
      <c r="B5" s="2">
        <v>46027</v>
      </c>
      <c r="C5" t="s">
        <v>15</v>
      </c>
      <c r="D5" t="s">
        <v>7</v>
      </c>
      <c r="E5" s="11">
        <v>30</v>
      </c>
      <c r="F5" t="s">
        <v>8</v>
      </c>
      <c r="G5" t="s">
        <v>16</v>
      </c>
    </row>
    <row r="6" spans="1:7" hidden="1">
      <c r="A6" t="s">
        <v>30</v>
      </c>
      <c r="B6" s="2">
        <v>46030</v>
      </c>
      <c r="C6" t="s">
        <v>15</v>
      </c>
      <c r="D6" t="s">
        <v>17</v>
      </c>
      <c r="E6" s="11">
        <v>54.99</v>
      </c>
      <c r="F6" t="s">
        <v>13</v>
      </c>
      <c r="G6" t="s">
        <v>14</v>
      </c>
    </row>
    <row r="7" spans="1:7" hidden="1">
      <c r="A7" t="s">
        <v>30</v>
      </c>
      <c r="B7" s="2">
        <v>46031</v>
      </c>
      <c r="C7" t="s">
        <v>15</v>
      </c>
      <c r="D7" t="s">
        <v>11</v>
      </c>
      <c r="E7" s="11">
        <v>109.99</v>
      </c>
      <c r="F7" t="s">
        <v>13</v>
      </c>
      <c r="G7" t="s">
        <v>18</v>
      </c>
    </row>
    <row r="8" spans="1:7" hidden="1">
      <c r="A8" t="s">
        <v>30</v>
      </c>
      <c r="B8" s="2">
        <v>46031</v>
      </c>
      <c r="C8" t="s">
        <v>6</v>
      </c>
      <c r="D8" t="s">
        <v>12</v>
      </c>
      <c r="E8" s="11">
        <v>199.99</v>
      </c>
      <c r="F8" t="s">
        <v>19</v>
      </c>
      <c r="G8" t="s">
        <v>16</v>
      </c>
    </row>
    <row r="9" spans="1:7">
      <c r="A9" t="s">
        <v>30</v>
      </c>
      <c r="B9" s="2">
        <v>46034</v>
      </c>
      <c r="C9" t="s">
        <v>20</v>
      </c>
      <c r="D9" t="s">
        <v>7</v>
      </c>
      <c r="E9" s="11">
        <v>30</v>
      </c>
      <c r="F9" t="s">
        <v>8</v>
      </c>
      <c r="G9" t="s">
        <v>14</v>
      </c>
    </row>
    <row r="10" spans="1:7" hidden="1">
      <c r="A10" t="s">
        <v>30</v>
      </c>
      <c r="B10" s="2">
        <v>46036</v>
      </c>
      <c r="C10" t="s">
        <v>6</v>
      </c>
      <c r="D10" t="s">
        <v>12</v>
      </c>
      <c r="E10" s="11">
        <v>199.99</v>
      </c>
      <c r="F10" t="s">
        <v>13</v>
      </c>
      <c r="G10" t="s">
        <v>21</v>
      </c>
    </row>
    <row r="11" spans="1:7" hidden="1">
      <c r="A11" t="s">
        <v>30</v>
      </c>
      <c r="B11" s="2">
        <v>46036</v>
      </c>
      <c r="C11" t="s">
        <v>22</v>
      </c>
      <c r="D11" t="s">
        <v>12</v>
      </c>
      <c r="E11" s="11">
        <v>199.99</v>
      </c>
      <c r="F11" t="s">
        <v>13</v>
      </c>
      <c r="G11" t="s">
        <v>18</v>
      </c>
    </row>
    <row r="12" spans="1:7">
      <c r="A12" t="s">
        <v>30</v>
      </c>
      <c r="B12" s="2">
        <v>46037</v>
      </c>
      <c r="C12" t="s">
        <v>22</v>
      </c>
      <c r="D12" t="s">
        <v>7</v>
      </c>
      <c r="E12" s="11">
        <v>30</v>
      </c>
      <c r="F12" t="s">
        <v>19</v>
      </c>
      <c r="G12" t="s">
        <v>14</v>
      </c>
    </row>
    <row r="13" spans="1:7" hidden="1">
      <c r="A13" t="s">
        <v>30</v>
      </c>
      <c r="B13" s="2">
        <v>46037</v>
      </c>
      <c r="C13" t="s">
        <v>22</v>
      </c>
      <c r="D13" t="s">
        <v>12</v>
      </c>
      <c r="E13" s="11">
        <v>199.99</v>
      </c>
      <c r="F13" t="s">
        <v>23</v>
      </c>
      <c r="G13" t="s">
        <v>21</v>
      </c>
    </row>
    <row r="14" spans="1:7" hidden="1">
      <c r="A14" t="s">
        <v>30</v>
      </c>
      <c r="B14" s="2">
        <v>46037</v>
      </c>
      <c r="C14" t="s">
        <v>22</v>
      </c>
      <c r="D14" t="s">
        <v>12</v>
      </c>
      <c r="E14" s="11">
        <v>199.99</v>
      </c>
      <c r="F14" t="s">
        <v>23</v>
      </c>
      <c r="G14" t="s">
        <v>18</v>
      </c>
    </row>
    <row r="15" spans="1:7">
      <c r="A15" t="s">
        <v>30</v>
      </c>
      <c r="B15" s="2">
        <v>46037</v>
      </c>
      <c r="C15" t="s">
        <v>22</v>
      </c>
      <c r="D15" t="s">
        <v>7</v>
      </c>
      <c r="E15" s="11">
        <v>30</v>
      </c>
      <c r="F15" t="s">
        <v>13</v>
      </c>
      <c r="G15" t="s">
        <v>18</v>
      </c>
    </row>
    <row r="16" spans="1:7">
      <c r="A16" t="s">
        <v>30</v>
      </c>
      <c r="B16" s="2">
        <v>46040</v>
      </c>
      <c r="C16" t="s">
        <v>15</v>
      </c>
      <c r="D16" t="s">
        <v>7</v>
      </c>
      <c r="E16" s="11">
        <v>30</v>
      </c>
      <c r="F16" t="s">
        <v>23</v>
      </c>
      <c r="G16" t="s">
        <v>16</v>
      </c>
    </row>
    <row r="17" spans="1:7" hidden="1">
      <c r="A17" t="s">
        <v>30</v>
      </c>
      <c r="B17" s="2">
        <v>46043</v>
      </c>
      <c r="C17" t="s">
        <v>15</v>
      </c>
      <c r="D17" t="s">
        <v>11</v>
      </c>
      <c r="E17" s="11">
        <v>109.99</v>
      </c>
      <c r="F17" t="s">
        <v>19</v>
      </c>
      <c r="G17" t="s">
        <v>21</v>
      </c>
    </row>
    <row r="18" spans="1:7" hidden="1">
      <c r="A18" t="s">
        <v>30</v>
      </c>
      <c r="B18" s="2">
        <v>46043</v>
      </c>
      <c r="C18" t="s">
        <v>15</v>
      </c>
      <c r="D18" t="s">
        <v>12</v>
      </c>
      <c r="E18" s="11">
        <v>199.99</v>
      </c>
      <c r="F18" t="s">
        <v>19</v>
      </c>
      <c r="G18" t="s">
        <v>18</v>
      </c>
    </row>
    <row r="19" spans="1:7" hidden="1">
      <c r="A19" t="s">
        <v>30</v>
      </c>
      <c r="B19" s="2">
        <v>46043</v>
      </c>
      <c r="C19" t="s">
        <v>6</v>
      </c>
      <c r="D19" t="s">
        <v>12</v>
      </c>
      <c r="E19" s="11">
        <v>199.99</v>
      </c>
      <c r="F19" t="s">
        <v>23</v>
      </c>
      <c r="G19" t="s">
        <v>16</v>
      </c>
    </row>
    <row r="20" spans="1:7" hidden="1">
      <c r="A20" t="s">
        <v>30</v>
      </c>
      <c r="B20" s="2">
        <v>46044</v>
      </c>
      <c r="C20" t="s">
        <v>20</v>
      </c>
      <c r="D20" t="s">
        <v>12</v>
      </c>
      <c r="E20" s="11">
        <v>199.99</v>
      </c>
      <c r="F20" t="s">
        <v>23</v>
      </c>
      <c r="G20" t="s">
        <v>9</v>
      </c>
    </row>
    <row r="21" spans="1:7" hidden="1">
      <c r="A21" t="s">
        <v>30</v>
      </c>
      <c r="B21" s="2">
        <v>46046</v>
      </c>
      <c r="C21" t="s">
        <v>10</v>
      </c>
      <c r="D21" t="s">
        <v>12</v>
      </c>
      <c r="E21" s="11">
        <v>199.99</v>
      </c>
      <c r="F21" t="s">
        <v>23</v>
      </c>
      <c r="G21" t="s">
        <v>14</v>
      </c>
    </row>
    <row r="22" spans="1:7" hidden="1">
      <c r="A22" t="s">
        <v>30</v>
      </c>
      <c r="B22" s="2">
        <v>46050</v>
      </c>
      <c r="C22" t="s">
        <v>15</v>
      </c>
      <c r="D22" t="s">
        <v>12</v>
      </c>
      <c r="E22" s="11">
        <v>199.99</v>
      </c>
      <c r="F22" t="s">
        <v>23</v>
      </c>
      <c r="G22" t="s">
        <v>16</v>
      </c>
    </row>
    <row r="23" spans="1:7" hidden="1">
      <c r="A23" t="s">
        <v>31</v>
      </c>
      <c r="B23" s="2">
        <v>46055</v>
      </c>
      <c r="C23" t="s">
        <v>20</v>
      </c>
      <c r="D23" t="s">
        <v>7</v>
      </c>
      <c r="E23" s="11">
        <v>30</v>
      </c>
      <c r="F23" t="s">
        <v>13</v>
      </c>
      <c r="G23" t="s">
        <v>18</v>
      </c>
    </row>
    <row r="24" spans="1:7" hidden="1">
      <c r="A24" t="s">
        <v>31</v>
      </c>
      <c r="B24" s="2">
        <v>46055</v>
      </c>
      <c r="C24" t="s">
        <v>20</v>
      </c>
      <c r="D24" t="s">
        <v>11</v>
      </c>
      <c r="E24" s="11">
        <v>109.99</v>
      </c>
      <c r="F24" t="s">
        <v>23</v>
      </c>
      <c r="G24" t="s">
        <v>18</v>
      </c>
    </row>
    <row r="25" spans="1:7" hidden="1">
      <c r="A25" t="s">
        <v>31</v>
      </c>
      <c r="B25" s="2">
        <v>46057</v>
      </c>
      <c r="C25" t="s">
        <v>20</v>
      </c>
      <c r="D25" t="s">
        <v>11</v>
      </c>
      <c r="E25" s="11">
        <v>109.99</v>
      </c>
      <c r="F25" t="s">
        <v>19</v>
      </c>
      <c r="G25" t="s">
        <v>18</v>
      </c>
    </row>
    <row r="26" spans="1:7" hidden="1">
      <c r="A26" t="s">
        <v>31</v>
      </c>
      <c r="B26" s="2">
        <v>46057</v>
      </c>
      <c r="C26" t="s">
        <v>22</v>
      </c>
      <c r="D26" t="s">
        <v>17</v>
      </c>
      <c r="E26" s="11">
        <v>54.99</v>
      </c>
      <c r="F26" t="s">
        <v>13</v>
      </c>
      <c r="G26" t="s">
        <v>9</v>
      </c>
    </row>
    <row r="27" spans="1:7" hidden="1">
      <c r="A27" t="s">
        <v>31</v>
      </c>
      <c r="B27" s="2">
        <v>46059</v>
      </c>
      <c r="C27" t="s">
        <v>15</v>
      </c>
      <c r="D27" t="s">
        <v>17</v>
      </c>
      <c r="E27" s="11">
        <v>54.99</v>
      </c>
      <c r="F27" t="s">
        <v>13</v>
      </c>
      <c r="G27" t="s">
        <v>18</v>
      </c>
    </row>
    <row r="28" spans="1:7" hidden="1">
      <c r="A28" t="s">
        <v>31</v>
      </c>
      <c r="B28" s="2">
        <v>46060</v>
      </c>
      <c r="C28" t="s">
        <v>15</v>
      </c>
      <c r="D28" t="s">
        <v>17</v>
      </c>
      <c r="E28" s="11">
        <v>54.99</v>
      </c>
      <c r="F28" t="s">
        <v>19</v>
      </c>
      <c r="G28" t="s">
        <v>16</v>
      </c>
    </row>
    <row r="29" spans="1:7" hidden="1">
      <c r="A29" t="s">
        <v>31</v>
      </c>
      <c r="B29" s="2">
        <v>46062</v>
      </c>
      <c r="C29" t="s">
        <v>22</v>
      </c>
      <c r="D29" t="s">
        <v>11</v>
      </c>
      <c r="E29" s="11">
        <v>109.99</v>
      </c>
      <c r="F29" t="s">
        <v>23</v>
      </c>
      <c r="G29" t="s">
        <v>14</v>
      </c>
    </row>
    <row r="30" spans="1:7" hidden="1">
      <c r="A30" t="s">
        <v>31</v>
      </c>
      <c r="B30" s="2">
        <v>46063</v>
      </c>
      <c r="C30" t="s">
        <v>15</v>
      </c>
      <c r="D30" t="s">
        <v>12</v>
      </c>
      <c r="E30" s="11">
        <v>199.99</v>
      </c>
      <c r="F30" t="s">
        <v>23</v>
      </c>
      <c r="G30" t="s">
        <v>21</v>
      </c>
    </row>
    <row r="31" spans="1:7" hidden="1">
      <c r="A31" t="s">
        <v>31</v>
      </c>
      <c r="B31" s="2">
        <v>46063</v>
      </c>
      <c r="C31" t="s">
        <v>10</v>
      </c>
      <c r="D31" t="s">
        <v>17</v>
      </c>
      <c r="E31" s="11">
        <v>54.99</v>
      </c>
      <c r="F31" t="s">
        <v>19</v>
      </c>
      <c r="G31" t="s">
        <v>18</v>
      </c>
    </row>
    <row r="32" spans="1:7" hidden="1">
      <c r="A32" t="s">
        <v>31</v>
      </c>
      <c r="B32" s="2">
        <v>46066</v>
      </c>
      <c r="C32" t="s">
        <v>22</v>
      </c>
      <c r="D32" t="s">
        <v>11</v>
      </c>
      <c r="E32" s="11">
        <v>109.99</v>
      </c>
      <c r="F32" t="s">
        <v>23</v>
      </c>
      <c r="G32" t="s">
        <v>14</v>
      </c>
    </row>
    <row r="33" spans="1:7" hidden="1">
      <c r="A33" t="s">
        <v>31</v>
      </c>
      <c r="B33" s="2">
        <v>46067</v>
      </c>
      <c r="C33" t="s">
        <v>22</v>
      </c>
      <c r="D33" t="s">
        <v>17</v>
      </c>
      <c r="E33" s="11">
        <v>54.99</v>
      </c>
      <c r="F33" t="s">
        <v>13</v>
      </c>
      <c r="G33" t="s">
        <v>18</v>
      </c>
    </row>
    <row r="34" spans="1:7" hidden="1">
      <c r="A34" t="s">
        <v>31</v>
      </c>
      <c r="B34" s="2">
        <v>46070</v>
      </c>
      <c r="C34" t="s">
        <v>6</v>
      </c>
      <c r="D34" t="s">
        <v>17</v>
      </c>
      <c r="E34" s="11">
        <v>54.99</v>
      </c>
      <c r="F34" t="s">
        <v>19</v>
      </c>
      <c r="G34" t="s">
        <v>16</v>
      </c>
    </row>
    <row r="35" spans="1:7" hidden="1">
      <c r="A35" t="s">
        <v>31</v>
      </c>
      <c r="B35" s="2">
        <v>46070</v>
      </c>
      <c r="C35" t="s">
        <v>15</v>
      </c>
      <c r="D35" t="s">
        <v>17</v>
      </c>
      <c r="E35" s="11">
        <v>54.99</v>
      </c>
      <c r="F35" t="s">
        <v>8</v>
      </c>
      <c r="G35" t="s">
        <v>16</v>
      </c>
    </row>
    <row r="36" spans="1:7" hidden="1">
      <c r="A36" t="s">
        <v>31</v>
      </c>
      <c r="B36" s="2">
        <v>46071</v>
      </c>
      <c r="C36" t="s">
        <v>20</v>
      </c>
      <c r="D36" t="s">
        <v>7</v>
      </c>
      <c r="E36" s="11">
        <v>30</v>
      </c>
      <c r="F36" t="s">
        <v>8</v>
      </c>
      <c r="G36" t="s">
        <v>18</v>
      </c>
    </row>
    <row r="37" spans="1:7" hidden="1">
      <c r="A37" t="s">
        <v>31</v>
      </c>
      <c r="B37" s="2">
        <v>46072</v>
      </c>
      <c r="C37" t="s">
        <v>22</v>
      </c>
      <c r="D37" t="s">
        <v>7</v>
      </c>
      <c r="E37" s="11">
        <v>30</v>
      </c>
      <c r="F37" t="s">
        <v>19</v>
      </c>
      <c r="G37" t="s">
        <v>16</v>
      </c>
    </row>
    <row r="38" spans="1:7" hidden="1">
      <c r="A38" t="s">
        <v>31</v>
      </c>
      <c r="B38" s="2">
        <v>46073</v>
      </c>
      <c r="C38" t="s">
        <v>22</v>
      </c>
      <c r="D38" t="s">
        <v>17</v>
      </c>
      <c r="E38" s="11">
        <v>54.99</v>
      </c>
      <c r="F38" t="s">
        <v>13</v>
      </c>
      <c r="G38" t="s">
        <v>18</v>
      </c>
    </row>
    <row r="39" spans="1:7" hidden="1">
      <c r="A39" t="s">
        <v>31</v>
      </c>
      <c r="B39" s="2">
        <v>46073</v>
      </c>
      <c r="C39" t="s">
        <v>15</v>
      </c>
      <c r="D39" t="s">
        <v>7</v>
      </c>
      <c r="E39" s="11">
        <v>30</v>
      </c>
      <c r="F39" t="s">
        <v>8</v>
      </c>
      <c r="G39" t="s">
        <v>14</v>
      </c>
    </row>
    <row r="40" spans="1:7" hidden="1">
      <c r="A40" t="s">
        <v>31</v>
      </c>
      <c r="B40" s="2">
        <v>46075</v>
      </c>
      <c r="C40" t="s">
        <v>6</v>
      </c>
      <c r="D40" t="s">
        <v>7</v>
      </c>
      <c r="E40" s="11">
        <v>30</v>
      </c>
      <c r="F40" t="s">
        <v>8</v>
      </c>
      <c r="G40" t="s">
        <v>14</v>
      </c>
    </row>
    <row r="41" spans="1:7" hidden="1">
      <c r="A41" t="s">
        <v>31</v>
      </c>
      <c r="B41" s="2">
        <v>46075</v>
      </c>
      <c r="C41" t="s">
        <v>6</v>
      </c>
      <c r="D41" t="s">
        <v>17</v>
      </c>
      <c r="E41" s="11">
        <v>54.99</v>
      </c>
      <c r="F41" t="s">
        <v>13</v>
      </c>
      <c r="G41" t="s">
        <v>18</v>
      </c>
    </row>
    <row r="42" spans="1:7" hidden="1">
      <c r="A42" t="s">
        <v>31</v>
      </c>
      <c r="B42" s="2">
        <v>46075</v>
      </c>
      <c r="C42" t="s">
        <v>10</v>
      </c>
      <c r="D42" t="s">
        <v>11</v>
      </c>
      <c r="E42" s="11">
        <v>109.99</v>
      </c>
      <c r="F42" t="s">
        <v>13</v>
      </c>
      <c r="G42" t="s">
        <v>16</v>
      </c>
    </row>
    <row r="43" spans="1:7" hidden="1">
      <c r="A43" t="s">
        <v>31</v>
      </c>
      <c r="B43" s="2">
        <v>46076</v>
      </c>
      <c r="C43" t="s">
        <v>22</v>
      </c>
      <c r="D43" t="s">
        <v>7</v>
      </c>
      <c r="E43" s="11">
        <v>30</v>
      </c>
      <c r="F43" t="s">
        <v>13</v>
      </c>
      <c r="G43" t="s">
        <v>14</v>
      </c>
    </row>
    <row r="44" spans="1:7" hidden="1">
      <c r="A44" t="s">
        <v>31</v>
      </c>
      <c r="B44" s="2">
        <v>46076</v>
      </c>
      <c r="C44" t="s">
        <v>15</v>
      </c>
      <c r="D44" t="s">
        <v>11</v>
      </c>
      <c r="E44" s="11">
        <v>109.99</v>
      </c>
      <c r="F44" t="s">
        <v>19</v>
      </c>
      <c r="G44" t="s">
        <v>14</v>
      </c>
    </row>
    <row r="45" spans="1:7" hidden="1">
      <c r="A45" t="s">
        <v>31</v>
      </c>
      <c r="B45" s="2">
        <v>46077</v>
      </c>
      <c r="C45" t="s">
        <v>15</v>
      </c>
      <c r="D45" t="s">
        <v>17</v>
      </c>
      <c r="E45" s="11">
        <v>54.99</v>
      </c>
      <c r="F45" t="s">
        <v>8</v>
      </c>
      <c r="G45" t="s">
        <v>14</v>
      </c>
    </row>
    <row r="46" spans="1:7" hidden="1">
      <c r="A46" t="s">
        <v>31</v>
      </c>
      <c r="B46" s="2">
        <v>46080</v>
      </c>
      <c r="C46" t="s">
        <v>22</v>
      </c>
      <c r="D46" t="s">
        <v>7</v>
      </c>
      <c r="E46" s="11">
        <v>30</v>
      </c>
      <c r="F46" t="s">
        <v>19</v>
      </c>
      <c r="G46" t="s">
        <v>14</v>
      </c>
    </row>
    <row r="47" spans="1:7" hidden="1">
      <c r="A47" t="s">
        <v>31</v>
      </c>
      <c r="B47" s="2">
        <v>46081</v>
      </c>
      <c r="C47" t="s">
        <v>6</v>
      </c>
      <c r="D47" t="s">
        <v>17</v>
      </c>
      <c r="E47" s="11">
        <v>54.99</v>
      </c>
      <c r="F47" t="s">
        <v>19</v>
      </c>
      <c r="G47" t="s">
        <v>18</v>
      </c>
    </row>
    <row r="48" spans="1:7" hidden="1">
      <c r="A48" t="s">
        <v>32</v>
      </c>
      <c r="B48" s="2">
        <v>46082</v>
      </c>
      <c r="C48" t="s">
        <v>6</v>
      </c>
      <c r="D48" t="s">
        <v>12</v>
      </c>
      <c r="E48" s="11">
        <v>199.99</v>
      </c>
      <c r="F48" t="s">
        <v>8</v>
      </c>
      <c r="G48" t="s">
        <v>21</v>
      </c>
    </row>
    <row r="49" spans="1:7" hidden="1">
      <c r="A49" t="s">
        <v>32</v>
      </c>
      <c r="B49" s="2">
        <v>46084</v>
      </c>
      <c r="C49" t="s">
        <v>20</v>
      </c>
      <c r="D49" t="s">
        <v>7</v>
      </c>
      <c r="E49" s="11">
        <v>30</v>
      </c>
      <c r="F49" t="s">
        <v>13</v>
      </c>
      <c r="G49" t="s">
        <v>9</v>
      </c>
    </row>
    <row r="50" spans="1:7" hidden="1">
      <c r="A50" t="s">
        <v>32</v>
      </c>
      <c r="B50" s="2">
        <v>46085</v>
      </c>
      <c r="C50" t="s">
        <v>20</v>
      </c>
      <c r="D50" t="s">
        <v>11</v>
      </c>
      <c r="E50" s="11">
        <v>109.99</v>
      </c>
      <c r="F50" t="s">
        <v>19</v>
      </c>
      <c r="G50" t="s">
        <v>16</v>
      </c>
    </row>
    <row r="51" spans="1:7" hidden="1">
      <c r="A51" t="s">
        <v>32</v>
      </c>
      <c r="B51" s="2">
        <v>46086</v>
      </c>
      <c r="C51" t="s">
        <v>10</v>
      </c>
      <c r="D51" t="s">
        <v>12</v>
      </c>
      <c r="E51" s="11">
        <v>199.99</v>
      </c>
      <c r="F51" t="s">
        <v>13</v>
      </c>
      <c r="G51" t="s">
        <v>18</v>
      </c>
    </row>
    <row r="52" spans="1:7" hidden="1">
      <c r="A52" t="s">
        <v>32</v>
      </c>
      <c r="B52" s="2">
        <v>46087</v>
      </c>
      <c r="C52" t="s">
        <v>15</v>
      </c>
      <c r="D52" t="s">
        <v>17</v>
      </c>
      <c r="E52" s="11">
        <v>54.99</v>
      </c>
      <c r="F52" t="s">
        <v>13</v>
      </c>
      <c r="G52" t="s">
        <v>16</v>
      </c>
    </row>
    <row r="53" spans="1:7" hidden="1">
      <c r="A53" t="s">
        <v>32</v>
      </c>
      <c r="B53" s="2">
        <v>46093</v>
      </c>
      <c r="C53" t="s">
        <v>20</v>
      </c>
      <c r="D53" t="s">
        <v>12</v>
      </c>
      <c r="E53" s="11">
        <v>199.99</v>
      </c>
      <c r="F53" t="s">
        <v>8</v>
      </c>
      <c r="G53" t="s">
        <v>14</v>
      </c>
    </row>
    <row r="54" spans="1:7" hidden="1">
      <c r="A54" t="s">
        <v>32</v>
      </c>
      <c r="B54" s="2">
        <v>46094</v>
      </c>
      <c r="C54" t="s">
        <v>15</v>
      </c>
      <c r="D54" t="s">
        <v>17</v>
      </c>
      <c r="E54" s="11">
        <v>54.99</v>
      </c>
      <c r="F54" t="s">
        <v>23</v>
      </c>
      <c r="G54" t="s">
        <v>18</v>
      </c>
    </row>
    <row r="55" spans="1:7" hidden="1">
      <c r="A55" t="s">
        <v>32</v>
      </c>
      <c r="B55" s="2">
        <v>46094</v>
      </c>
      <c r="C55" t="s">
        <v>22</v>
      </c>
      <c r="D55" t="s">
        <v>7</v>
      </c>
      <c r="E55" s="11">
        <v>30</v>
      </c>
      <c r="F55" t="s">
        <v>13</v>
      </c>
      <c r="G55" t="s">
        <v>14</v>
      </c>
    </row>
    <row r="56" spans="1:7" hidden="1">
      <c r="A56" t="s">
        <v>32</v>
      </c>
      <c r="B56" s="2">
        <v>46095</v>
      </c>
      <c r="C56" t="s">
        <v>15</v>
      </c>
      <c r="D56" t="s">
        <v>17</v>
      </c>
      <c r="E56" s="11">
        <v>54.99</v>
      </c>
      <c r="F56" t="s">
        <v>13</v>
      </c>
      <c r="G56" t="s">
        <v>18</v>
      </c>
    </row>
    <row r="57" spans="1:7" hidden="1">
      <c r="A57" t="s">
        <v>32</v>
      </c>
      <c r="B57" s="2">
        <v>46097</v>
      </c>
      <c r="C57" t="s">
        <v>6</v>
      </c>
      <c r="D57" t="s">
        <v>11</v>
      </c>
      <c r="E57" s="11">
        <v>109.99</v>
      </c>
      <c r="F57" t="s">
        <v>13</v>
      </c>
      <c r="G57" t="s">
        <v>16</v>
      </c>
    </row>
    <row r="58" spans="1:7" hidden="1">
      <c r="A58" t="s">
        <v>32</v>
      </c>
      <c r="B58" s="2">
        <v>46103</v>
      </c>
      <c r="C58" t="s">
        <v>6</v>
      </c>
      <c r="D58" t="s">
        <v>17</v>
      </c>
      <c r="E58" s="11">
        <v>54.99</v>
      </c>
      <c r="F58" t="s">
        <v>8</v>
      </c>
      <c r="G58" t="s">
        <v>18</v>
      </c>
    </row>
    <row r="59" spans="1:7" hidden="1">
      <c r="A59" t="s">
        <v>32</v>
      </c>
      <c r="B59" s="2">
        <v>46103</v>
      </c>
      <c r="C59" t="s">
        <v>10</v>
      </c>
      <c r="D59" t="s">
        <v>11</v>
      </c>
      <c r="E59" s="11">
        <v>109.99</v>
      </c>
      <c r="F59" t="s">
        <v>19</v>
      </c>
      <c r="G59" t="s">
        <v>16</v>
      </c>
    </row>
    <row r="60" spans="1:7" hidden="1">
      <c r="A60" t="s">
        <v>32</v>
      </c>
      <c r="B60" s="2">
        <v>46104</v>
      </c>
      <c r="C60" t="s">
        <v>15</v>
      </c>
      <c r="D60" t="s">
        <v>17</v>
      </c>
      <c r="E60" s="11">
        <v>54.99</v>
      </c>
      <c r="F60" t="s">
        <v>23</v>
      </c>
      <c r="G60" t="s">
        <v>9</v>
      </c>
    </row>
    <row r="61" spans="1:7" hidden="1">
      <c r="A61" t="s">
        <v>32</v>
      </c>
      <c r="B61" s="2">
        <v>46106</v>
      </c>
      <c r="C61" t="s">
        <v>22</v>
      </c>
      <c r="D61" t="s">
        <v>11</v>
      </c>
      <c r="E61" s="11">
        <v>109.99</v>
      </c>
      <c r="F61" t="s">
        <v>8</v>
      </c>
      <c r="G61" t="s">
        <v>14</v>
      </c>
    </row>
    <row r="62" spans="1:7" hidden="1">
      <c r="A62" t="s">
        <v>32</v>
      </c>
      <c r="B62" s="2">
        <v>46110</v>
      </c>
      <c r="C62" t="s">
        <v>20</v>
      </c>
      <c r="D62" t="s">
        <v>7</v>
      </c>
      <c r="E62" s="11">
        <v>30</v>
      </c>
      <c r="F62" t="s">
        <v>19</v>
      </c>
      <c r="G62" t="s">
        <v>9</v>
      </c>
    </row>
    <row r="63" spans="1:7" hidden="1">
      <c r="A63" t="s">
        <v>32</v>
      </c>
      <c r="B63" s="2">
        <v>46110</v>
      </c>
      <c r="C63" t="s">
        <v>10</v>
      </c>
      <c r="D63" t="s">
        <v>12</v>
      </c>
      <c r="E63" s="11">
        <v>199.99</v>
      </c>
      <c r="F63" t="s">
        <v>19</v>
      </c>
      <c r="G63" t="s">
        <v>21</v>
      </c>
    </row>
    <row r="64" spans="1:7" hidden="1">
      <c r="A64" t="s">
        <v>32</v>
      </c>
      <c r="B64" s="2">
        <v>46110</v>
      </c>
      <c r="C64" t="s">
        <v>6</v>
      </c>
      <c r="D64" t="s">
        <v>7</v>
      </c>
      <c r="E64" s="11">
        <v>30</v>
      </c>
      <c r="F64" t="s">
        <v>23</v>
      </c>
      <c r="G64" t="s">
        <v>18</v>
      </c>
    </row>
    <row r="65" spans="1:7" hidden="1">
      <c r="A65" t="s">
        <v>32</v>
      </c>
      <c r="B65" s="2">
        <v>46111</v>
      </c>
      <c r="C65" t="s">
        <v>6</v>
      </c>
      <c r="D65" t="s">
        <v>7</v>
      </c>
      <c r="E65" s="11">
        <v>30</v>
      </c>
      <c r="F65" t="s">
        <v>23</v>
      </c>
      <c r="G65" t="s">
        <v>9</v>
      </c>
    </row>
    <row r="66" spans="1:7" hidden="1">
      <c r="A66" t="s">
        <v>32</v>
      </c>
      <c r="B66" s="2">
        <v>46111</v>
      </c>
      <c r="C66" t="s">
        <v>20</v>
      </c>
      <c r="D66" t="s">
        <v>17</v>
      </c>
      <c r="E66" s="11">
        <v>54.99</v>
      </c>
      <c r="F66" t="s">
        <v>8</v>
      </c>
      <c r="G66" t="s">
        <v>14</v>
      </c>
    </row>
    <row r="67" spans="1:7" hidden="1">
      <c r="A67" t="s">
        <v>32</v>
      </c>
      <c r="B67" s="2">
        <v>46111</v>
      </c>
      <c r="C67" t="s">
        <v>6</v>
      </c>
      <c r="D67" t="s">
        <v>12</v>
      </c>
      <c r="E67" s="11">
        <v>199.99</v>
      </c>
      <c r="F67" t="s">
        <v>23</v>
      </c>
      <c r="G67" t="s">
        <v>16</v>
      </c>
    </row>
    <row r="68" spans="1:7" hidden="1">
      <c r="A68" t="s">
        <v>32</v>
      </c>
      <c r="B68" s="2">
        <v>46112</v>
      </c>
      <c r="C68" t="s">
        <v>6</v>
      </c>
      <c r="D68" t="s">
        <v>11</v>
      </c>
      <c r="E68" s="11">
        <v>109.99</v>
      </c>
      <c r="F68" t="s">
        <v>13</v>
      </c>
      <c r="G68" t="s">
        <v>16</v>
      </c>
    </row>
    <row r="69" spans="1:7" hidden="1">
      <c r="A69" t="s">
        <v>33</v>
      </c>
      <c r="B69" s="2">
        <v>46114</v>
      </c>
      <c r="C69" t="s">
        <v>15</v>
      </c>
      <c r="D69" t="s">
        <v>17</v>
      </c>
      <c r="E69" s="11">
        <v>54.99</v>
      </c>
      <c r="F69" t="s">
        <v>23</v>
      </c>
      <c r="G69" t="s">
        <v>9</v>
      </c>
    </row>
    <row r="70" spans="1:7" hidden="1">
      <c r="A70" t="s">
        <v>33</v>
      </c>
      <c r="B70" s="2">
        <v>46115</v>
      </c>
      <c r="C70" t="s">
        <v>22</v>
      </c>
      <c r="D70" t="s">
        <v>11</v>
      </c>
      <c r="E70" s="11">
        <v>109.99</v>
      </c>
      <c r="F70" t="s">
        <v>8</v>
      </c>
      <c r="G70" t="s">
        <v>14</v>
      </c>
    </row>
    <row r="71" spans="1:7" hidden="1">
      <c r="A71" t="s">
        <v>33</v>
      </c>
      <c r="B71" s="2">
        <v>46117</v>
      </c>
      <c r="C71" t="s">
        <v>10</v>
      </c>
      <c r="D71" t="s">
        <v>7</v>
      </c>
      <c r="E71" s="11">
        <v>30</v>
      </c>
      <c r="F71" t="s">
        <v>23</v>
      </c>
      <c r="G71" t="s">
        <v>18</v>
      </c>
    </row>
    <row r="72" spans="1:7" hidden="1">
      <c r="A72" t="s">
        <v>33</v>
      </c>
      <c r="B72" s="2">
        <v>46121</v>
      </c>
      <c r="C72" t="s">
        <v>22</v>
      </c>
      <c r="D72" t="s">
        <v>11</v>
      </c>
      <c r="E72" s="11">
        <v>109.99</v>
      </c>
      <c r="F72" t="s">
        <v>19</v>
      </c>
      <c r="G72" t="s">
        <v>21</v>
      </c>
    </row>
    <row r="73" spans="1:7" hidden="1">
      <c r="A73" t="s">
        <v>33</v>
      </c>
      <c r="B73" s="2">
        <v>46122</v>
      </c>
      <c r="C73" t="s">
        <v>10</v>
      </c>
      <c r="D73" t="s">
        <v>17</v>
      </c>
      <c r="E73" s="11">
        <v>54.99</v>
      </c>
      <c r="F73" t="s">
        <v>19</v>
      </c>
      <c r="G73" t="s">
        <v>16</v>
      </c>
    </row>
    <row r="74" spans="1:7" hidden="1">
      <c r="A74" t="s">
        <v>33</v>
      </c>
      <c r="B74" s="2">
        <v>46123</v>
      </c>
      <c r="C74" t="s">
        <v>15</v>
      </c>
      <c r="D74" t="s">
        <v>7</v>
      </c>
      <c r="E74" s="11">
        <v>30</v>
      </c>
      <c r="F74" t="s">
        <v>13</v>
      </c>
      <c r="G74" t="s">
        <v>16</v>
      </c>
    </row>
    <row r="75" spans="1:7" hidden="1">
      <c r="A75" t="s">
        <v>33</v>
      </c>
      <c r="B75" s="2">
        <v>46125</v>
      </c>
      <c r="C75" t="s">
        <v>10</v>
      </c>
      <c r="D75" t="s">
        <v>12</v>
      </c>
      <c r="E75" s="11">
        <v>199.99</v>
      </c>
      <c r="F75" t="s">
        <v>13</v>
      </c>
      <c r="G75" t="s">
        <v>18</v>
      </c>
    </row>
    <row r="76" spans="1:7" hidden="1">
      <c r="A76" t="s">
        <v>33</v>
      </c>
      <c r="B76" s="2">
        <v>46125</v>
      </c>
      <c r="C76" t="s">
        <v>6</v>
      </c>
      <c r="D76" t="s">
        <v>12</v>
      </c>
      <c r="E76" s="11">
        <v>199.99</v>
      </c>
      <c r="F76" t="s">
        <v>19</v>
      </c>
      <c r="G76" t="s">
        <v>18</v>
      </c>
    </row>
    <row r="77" spans="1:7" hidden="1">
      <c r="A77" t="s">
        <v>33</v>
      </c>
      <c r="B77" s="2">
        <v>46126</v>
      </c>
      <c r="C77" t="s">
        <v>10</v>
      </c>
      <c r="D77" t="s">
        <v>17</v>
      </c>
      <c r="E77" s="11">
        <v>54.99</v>
      </c>
      <c r="F77" t="s">
        <v>8</v>
      </c>
      <c r="G77" t="s">
        <v>18</v>
      </c>
    </row>
    <row r="78" spans="1:7" hidden="1">
      <c r="A78" t="s">
        <v>33</v>
      </c>
      <c r="B78" s="2">
        <v>46126</v>
      </c>
      <c r="C78" t="s">
        <v>6</v>
      </c>
      <c r="D78" t="s">
        <v>7</v>
      </c>
      <c r="E78" s="11">
        <v>30</v>
      </c>
      <c r="F78" t="s">
        <v>13</v>
      </c>
      <c r="G78" t="s">
        <v>9</v>
      </c>
    </row>
    <row r="79" spans="1:7" hidden="1">
      <c r="A79" t="s">
        <v>33</v>
      </c>
      <c r="B79" s="2">
        <v>46126</v>
      </c>
      <c r="C79" t="s">
        <v>6</v>
      </c>
      <c r="D79" t="s">
        <v>12</v>
      </c>
      <c r="E79" s="11">
        <v>199.99</v>
      </c>
      <c r="F79" t="s">
        <v>8</v>
      </c>
      <c r="G79" t="s">
        <v>14</v>
      </c>
    </row>
    <row r="80" spans="1:7" hidden="1">
      <c r="A80" t="s">
        <v>33</v>
      </c>
      <c r="B80" s="2">
        <v>46128</v>
      </c>
      <c r="C80" t="s">
        <v>10</v>
      </c>
      <c r="D80" t="s">
        <v>11</v>
      </c>
      <c r="E80" s="11">
        <v>109.99</v>
      </c>
      <c r="F80" t="s">
        <v>23</v>
      </c>
      <c r="G80" t="s">
        <v>9</v>
      </c>
    </row>
    <row r="81" spans="1:7" hidden="1">
      <c r="A81" t="s">
        <v>33</v>
      </c>
      <c r="B81" s="2">
        <v>46129</v>
      </c>
      <c r="C81" t="s">
        <v>6</v>
      </c>
      <c r="D81" t="s">
        <v>17</v>
      </c>
      <c r="E81" s="11">
        <v>54.99</v>
      </c>
      <c r="F81" t="s">
        <v>8</v>
      </c>
      <c r="G81" t="s">
        <v>9</v>
      </c>
    </row>
    <row r="82" spans="1:7" hidden="1">
      <c r="A82" t="s">
        <v>33</v>
      </c>
      <c r="B82" s="2">
        <v>46130</v>
      </c>
      <c r="C82" t="s">
        <v>10</v>
      </c>
      <c r="D82" t="s">
        <v>11</v>
      </c>
      <c r="E82" s="11">
        <v>109.99</v>
      </c>
      <c r="F82" t="s">
        <v>13</v>
      </c>
      <c r="G82" t="s">
        <v>18</v>
      </c>
    </row>
    <row r="83" spans="1:7" hidden="1">
      <c r="A83" t="s">
        <v>33</v>
      </c>
      <c r="B83" s="2">
        <v>46133</v>
      </c>
      <c r="C83" t="s">
        <v>22</v>
      </c>
      <c r="D83" t="s">
        <v>17</v>
      </c>
      <c r="E83" s="11">
        <v>54.99</v>
      </c>
      <c r="F83" t="s">
        <v>13</v>
      </c>
      <c r="G83" t="s">
        <v>14</v>
      </c>
    </row>
    <row r="84" spans="1:7" hidden="1">
      <c r="A84" t="s">
        <v>33</v>
      </c>
      <c r="B84" s="2">
        <v>46133</v>
      </c>
      <c r="C84" t="s">
        <v>10</v>
      </c>
      <c r="D84" t="s">
        <v>11</v>
      </c>
      <c r="E84" s="11">
        <v>109.99</v>
      </c>
      <c r="F84" t="s">
        <v>23</v>
      </c>
      <c r="G84" t="s">
        <v>18</v>
      </c>
    </row>
    <row r="85" spans="1:7" hidden="1">
      <c r="A85" t="s">
        <v>33</v>
      </c>
      <c r="B85" s="2">
        <v>46139</v>
      </c>
      <c r="C85" t="s">
        <v>15</v>
      </c>
      <c r="D85" t="s">
        <v>12</v>
      </c>
      <c r="E85" s="11">
        <v>199.99</v>
      </c>
      <c r="F85" t="s">
        <v>23</v>
      </c>
      <c r="G85" t="s">
        <v>9</v>
      </c>
    </row>
    <row r="86" spans="1:7" hidden="1">
      <c r="A86" t="s">
        <v>34</v>
      </c>
      <c r="B86" s="2">
        <v>46144</v>
      </c>
      <c r="C86" t="s">
        <v>6</v>
      </c>
      <c r="D86" t="s">
        <v>12</v>
      </c>
      <c r="E86" s="11">
        <v>199.99</v>
      </c>
      <c r="F86" t="s">
        <v>19</v>
      </c>
      <c r="G86" t="s">
        <v>16</v>
      </c>
    </row>
    <row r="87" spans="1:7" hidden="1">
      <c r="A87" t="s">
        <v>34</v>
      </c>
      <c r="B87" s="2">
        <v>46145</v>
      </c>
      <c r="C87" t="s">
        <v>20</v>
      </c>
      <c r="D87" t="s">
        <v>7</v>
      </c>
      <c r="E87" s="11">
        <v>30</v>
      </c>
      <c r="F87" t="s">
        <v>8</v>
      </c>
      <c r="G87" t="s">
        <v>16</v>
      </c>
    </row>
    <row r="88" spans="1:7" hidden="1">
      <c r="A88" t="s">
        <v>34</v>
      </c>
      <c r="B88" s="2">
        <v>46146</v>
      </c>
      <c r="C88" t="s">
        <v>15</v>
      </c>
      <c r="D88" t="s">
        <v>11</v>
      </c>
      <c r="E88" s="11">
        <v>109.99</v>
      </c>
      <c r="F88" t="s">
        <v>13</v>
      </c>
      <c r="G88" t="s">
        <v>9</v>
      </c>
    </row>
    <row r="89" spans="1:7" hidden="1">
      <c r="A89" t="s">
        <v>34</v>
      </c>
      <c r="B89" s="2">
        <v>46151</v>
      </c>
      <c r="C89" t="s">
        <v>20</v>
      </c>
      <c r="D89" t="s">
        <v>12</v>
      </c>
      <c r="E89" s="11">
        <v>199.99</v>
      </c>
      <c r="F89" t="s">
        <v>23</v>
      </c>
      <c r="G89" t="s">
        <v>14</v>
      </c>
    </row>
    <row r="90" spans="1:7" hidden="1">
      <c r="A90" t="s">
        <v>34</v>
      </c>
      <c r="B90" s="2">
        <v>46152</v>
      </c>
      <c r="C90" t="s">
        <v>20</v>
      </c>
      <c r="D90" t="s">
        <v>11</v>
      </c>
      <c r="E90" s="11">
        <v>109.99</v>
      </c>
      <c r="F90" t="s">
        <v>8</v>
      </c>
      <c r="G90" t="s">
        <v>16</v>
      </c>
    </row>
    <row r="91" spans="1:7" hidden="1">
      <c r="A91" t="s">
        <v>34</v>
      </c>
      <c r="B91" s="2">
        <v>46152</v>
      </c>
      <c r="C91" t="s">
        <v>6</v>
      </c>
      <c r="D91" t="s">
        <v>12</v>
      </c>
      <c r="E91" s="11">
        <v>199.99</v>
      </c>
      <c r="F91" t="s">
        <v>13</v>
      </c>
      <c r="G91" t="s">
        <v>21</v>
      </c>
    </row>
    <row r="92" spans="1:7" hidden="1">
      <c r="A92" t="s">
        <v>34</v>
      </c>
      <c r="B92" s="2">
        <v>46153</v>
      </c>
      <c r="C92" t="s">
        <v>15</v>
      </c>
      <c r="D92" t="s">
        <v>12</v>
      </c>
      <c r="E92" s="11">
        <v>199.99</v>
      </c>
      <c r="F92" t="s">
        <v>8</v>
      </c>
      <c r="G92" t="s">
        <v>16</v>
      </c>
    </row>
    <row r="93" spans="1:7" hidden="1">
      <c r="A93" t="s">
        <v>34</v>
      </c>
      <c r="B93" s="2">
        <v>46153</v>
      </c>
      <c r="C93" t="s">
        <v>15</v>
      </c>
      <c r="D93" t="s">
        <v>12</v>
      </c>
      <c r="E93" s="11">
        <v>199.99</v>
      </c>
      <c r="F93" t="s">
        <v>23</v>
      </c>
      <c r="G93" t="s">
        <v>21</v>
      </c>
    </row>
    <row r="94" spans="1:7" hidden="1">
      <c r="A94" t="s">
        <v>34</v>
      </c>
      <c r="B94" s="2">
        <v>46154</v>
      </c>
      <c r="C94" t="s">
        <v>10</v>
      </c>
      <c r="D94" t="s">
        <v>17</v>
      </c>
      <c r="E94" s="11">
        <v>54.99</v>
      </c>
      <c r="F94" t="s">
        <v>19</v>
      </c>
      <c r="G94" t="s">
        <v>21</v>
      </c>
    </row>
    <row r="95" spans="1:7" hidden="1">
      <c r="A95" t="s">
        <v>34</v>
      </c>
      <c r="B95" s="2">
        <v>46154</v>
      </c>
      <c r="C95" t="s">
        <v>10</v>
      </c>
      <c r="D95" t="s">
        <v>7</v>
      </c>
      <c r="E95" s="11">
        <v>30</v>
      </c>
      <c r="F95" t="s">
        <v>23</v>
      </c>
      <c r="G95" t="s">
        <v>16</v>
      </c>
    </row>
    <row r="96" spans="1:7" hidden="1">
      <c r="A96" t="s">
        <v>34</v>
      </c>
      <c r="B96" s="2">
        <v>46156</v>
      </c>
      <c r="C96" t="s">
        <v>15</v>
      </c>
      <c r="D96" t="s">
        <v>7</v>
      </c>
      <c r="E96" s="11">
        <v>30</v>
      </c>
      <c r="F96" t="s">
        <v>13</v>
      </c>
      <c r="G96" t="s">
        <v>14</v>
      </c>
    </row>
    <row r="97" spans="1:7" hidden="1">
      <c r="A97" t="s">
        <v>34</v>
      </c>
      <c r="B97" s="2">
        <v>46157</v>
      </c>
      <c r="C97" t="s">
        <v>6</v>
      </c>
      <c r="D97" t="s">
        <v>11</v>
      </c>
      <c r="E97" s="11">
        <v>109.99</v>
      </c>
      <c r="F97" t="s">
        <v>13</v>
      </c>
      <c r="G97" t="s">
        <v>9</v>
      </c>
    </row>
    <row r="98" spans="1:7" hidden="1">
      <c r="A98" t="s">
        <v>34</v>
      </c>
      <c r="B98" s="2">
        <v>46157</v>
      </c>
      <c r="C98" t="s">
        <v>10</v>
      </c>
      <c r="D98" t="s">
        <v>12</v>
      </c>
      <c r="E98" s="11">
        <v>199.99</v>
      </c>
      <c r="F98" t="s">
        <v>23</v>
      </c>
      <c r="G98" t="s">
        <v>14</v>
      </c>
    </row>
    <row r="99" spans="1:7" hidden="1">
      <c r="A99" t="s">
        <v>34</v>
      </c>
      <c r="B99" s="2">
        <v>46158</v>
      </c>
      <c r="C99" t="s">
        <v>6</v>
      </c>
      <c r="D99" t="s">
        <v>17</v>
      </c>
      <c r="E99" s="11">
        <v>54.99</v>
      </c>
      <c r="F99" t="s">
        <v>13</v>
      </c>
      <c r="G99" t="s">
        <v>16</v>
      </c>
    </row>
    <row r="100" spans="1:7" hidden="1">
      <c r="A100" t="s">
        <v>34</v>
      </c>
      <c r="B100" s="2">
        <v>46158</v>
      </c>
      <c r="C100" t="s">
        <v>20</v>
      </c>
      <c r="D100" t="s">
        <v>12</v>
      </c>
      <c r="E100" s="11">
        <v>199.99</v>
      </c>
      <c r="F100" t="s">
        <v>23</v>
      </c>
      <c r="G100" t="s">
        <v>16</v>
      </c>
    </row>
    <row r="101" spans="1:7" hidden="1">
      <c r="A101" t="s">
        <v>34</v>
      </c>
      <c r="B101" s="2">
        <v>46161</v>
      </c>
      <c r="C101" t="s">
        <v>20</v>
      </c>
      <c r="D101" t="s">
        <v>17</v>
      </c>
      <c r="E101" s="11">
        <v>54.99</v>
      </c>
      <c r="F101" t="s">
        <v>19</v>
      </c>
      <c r="G101" t="s">
        <v>14</v>
      </c>
    </row>
  </sheetData>
  <autoFilter ref="A1:G101">
    <filterColumn colId="0">
      <filters>
        <filter val="Janeiro"/>
      </filters>
    </filterColumn>
    <filterColumn colId="3">
      <filters>
        <filter val="TIM Pré Top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3"/>
  <sheetViews>
    <sheetView showGridLines="0" tabSelected="1" workbookViewId="0">
      <selection activeCell="D28" sqref="D28"/>
    </sheetView>
  </sheetViews>
  <sheetFormatPr defaultRowHeight="15"/>
  <cols>
    <col min="2" max="2" width="18" customWidth="1"/>
    <col min="3" max="3" width="29.42578125" customWidth="1"/>
    <col min="4" max="4" width="11.5703125" customWidth="1"/>
    <col min="5" max="5" width="15.5703125" customWidth="1"/>
    <col min="6" max="6" width="10.7109375" customWidth="1"/>
    <col min="7" max="7" width="11.5703125" customWidth="1"/>
    <col min="8" max="8" width="10.7109375" bestFit="1" customWidth="1"/>
  </cols>
  <sheetData>
    <row r="1" spans="2:5">
      <c r="B1" t="s">
        <v>35</v>
      </c>
    </row>
    <row r="3" spans="2:5">
      <c r="B3" s="8" t="s">
        <v>29</v>
      </c>
      <c r="C3" t="s">
        <v>31</v>
      </c>
    </row>
    <row r="5" spans="2:5">
      <c r="B5" s="8" t="s">
        <v>24</v>
      </c>
      <c r="C5" t="s">
        <v>26</v>
      </c>
    </row>
    <row r="6" spans="2:5">
      <c r="B6" s="9" t="s">
        <v>11</v>
      </c>
      <c r="C6" s="10">
        <v>659.93999999999994</v>
      </c>
    </row>
    <row r="7" spans="2:5">
      <c r="B7" s="9" t="s">
        <v>12</v>
      </c>
      <c r="C7" s="10">
        <v>199.99</v>
      </c>
    </row>
    <row r="8" spans="2:5">
      <c r="B8" s="9" t="s">
        <v>17</v>
      </c>
      <c r="C8" s="10">
        <v>604.89</v>
      </c>
    </row>
    <row r="9" spans="2:5">
      <c r="B9" s="9" t="s">
        <v>7</v>
      </c>
      <c r="C9" s="10">
        <v>210</v>
      </c>
    </row>
    <row r="10" spans="2:5">
      <c r="B10" s="9" t="s">
        <v>25</v>
      </c>
      <c r="C10" s="10">
        <v>1674.82</v>
      </c>
      <c r="E10" s="11">
        <f>GETPIVOTDATA("Valor Mensal (R$)",$B$5)</f>
        <v>1674.82</v>
      </c>
    </row>
    <row r="11" spans="2:5">
      <c r="B11" s="9"/>
      <c r="C11" s="10"/>
      <c r="E11" s="11"/>
    </row>
    <row r="12" spans="2:5">
      <c r="B12" s="9" t="s">
        <v>36</v>
      </c>
    </row>
    <row r="14" spans="2:5">
      <c r="B14" s="8" t="s">
        <v>29</v>
      </c>
      <c r="C14" t="s">
        <v>31</v>
      </c>
    </row>
    <row r="16" spans="2:5">
      <c r="B16" s="8" t="s">
        <v>26</v>
      </c>
      <c r="C16" s="8" t="s">
        <v>28</v>
      </c>
    </row>
    <row r="17" spans="2:10">
      <c r="B17" s="8" t="s">
        <v>24</v>
      </c>
      <c r="C17" t="s">
        <v>15</v>
      </c>
      <c r="D17" t="s">
        <v>20</v>
      </c>
      <c r="E17" t="s">
        <v>6</v>
      </c>
      <c r="F17" t="s">
        <v>10</v>
      </c>
      <c r="G17" t="s">
        <v>22</v>
      </c>
      <c r="H17" t="s">
        <v>25</v>
      </c>
    </row>
    <row r="18" spans="2:10">
      <c r="B18" s="9" t="s">
        <v>11</v>
      </c>
      <c r="C18" s="10">
        <v>109.99</v>
      </c>
      <c r="D18" s="10">
        <v>219.98</v>
      </c>
      <c r="E18" s="10"/>
      <c r="F18" s="10">
        <v>109.99</v>
      </c>
      <c r="G18" s="10">
        <v>219.98</v>
      </c>
      <c r="H18" s="10">
        <v>659.93999999999994</v>
      </c>
    </row>
    <row r="19" spans="2:10">
      <c r="B19" s="9" t="s">
        <v>12</v>
      </c>
      <c r="C19" s="10">
        <v>199.99</v>
      </c>
      <c r="D19" s="10"/>
      <c r="E19" s="10"/>
      <c r="F19" s="10"/>
      <c r="G19" s="10"/>
      <c r="H19" s="10">
        <v>199.99</v>
      </c>
    </row>
    <row r="20" spans="2:10">
      <c r="B20" s="9" t="s">
        <v>17</v>
      </c>
      <c r="C20" s="10">
        <v>219.96</v>
      </c>
      <c r="D20" s="10"/>
      <c r="E20" s="10">
        <v>164.97</v>
      </c>
      <c r="F20" s="10">
        <v>54.99</v>
      </c>
      <c r="G20" s="10">
        <v>164.97</v>
      </c>
      <c r="H20" s="10">
        <v>604.89</v>
      </c>
    </row>
    <row r="21" spans="2:10">
      <c r="B21" s="9" t="s">
        <v>7</v>
      </c>
      <c r="C21" s="10">
        <v>30</v>
      </c>
      <c r="D21" s="10">
        <v>60</v>
      </c>
      <c r="E21" s="10">
        <v>30</v>
      </c>
      <c r="F21" s="10"/>
      <c r="G21" s="10">
        <v>90</v>
      </c>
      <c r="H21" s="10">
        <v>210</v>
      </c>
    </row>
    <row r="22" spans="2:10">
      <c r="B22" s="9" t="s">
        <v>25</v>
      </c>
      <c r="C22" s="10">
        <v>559.94000000000005</v>
      </c>
      <c r="D22" s="10">
        <v>279.98</v>
      </c>
      <c r="E22" s="10">
        <v>194.97</v>
      </c>
      <c r="F22" s="10">
        <v>164.98</v>
      </c>
      <c r="G22" s="10">
        <v>474.95</v>
      </c>
      <c r="H22" s="10">
        <v>1674.82</v>
      </c>
      <c r="J22" t="str">
        <f>INDEX(C17:F17, MATCH(LARGE(C22:F22,1), C22:F22, 0))</f>
        <v>Ana Silva</v>
      </c>
    </row>
    <row r="23" spans="2:10">
      <c r="B23" s="9"/>
      <c r="C23" s="10"/>
      <c r="D23" s="10"/>
      <c r="E23" s="10"/>
      <c r="F23" s="10"/>
      <c r="G23" s="10"/>
      <c r="H23" s="10"/>
    </row>
    <row r="24" spans="2:10">
      <c r="B24" s="9" t="s">
        <v>38</v>
      </c>
    </row>
    <row r="26" spans="2:10">
      <c r="B26" s="8" t="s">
        <v>29</v>
      </c>
      <c r="C26" t="s">
        <v>31</v>
      </c>
    </row>
    <row r="28" spans="2:10">
      <c r="B28" s="8" t="s">
        <v>24</v>
      </c>
      <c r="C28" t="s">
        <v>37</v>
      </c>
    </row>
    <row r="29" spans="2:10">
      <c r="B29" s="9" t="s">
        <v>11</v>
      </c>
      <c r="C29" s="10">
        <v>6</v>
      </c>
    </row>
    <row r="30" spans="2:10">
      <c r="B30" s="9" t="s">
        <v>12</v>
      </c>
      <c r="C30" s="10">
        <v>1</v>
      </c>
    </row>
    <row r="31" spans="2:10">
      <c r="B31" s="9" t="s">
        <v>17</v>
      </c>
      <c r="C31" s="10">
        <v>11</v>
      </c>
    </row>
    <row r="32" spans="2:10">
      <c r="B32" s="9" t="s">
        <v>7</v>
      </c>
      <c r="C32" s="10">
        <v>7</v>
      </c>
    </row>
    <row r="33" spans="2:5">
      <c r="B33" s="9" t="s">
        <v>25</v>
      </c>
      <c r="C33" s="10">
        <v>25</v>
      </c>
      <c r="E33">
        <f>GETPIVOTDATA("Valor Mensal (R$)",$B$28)</f>
        <v>25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T109"/>
  <sheetViews>
    <sheetView showGridLines="0" workbookViewId="0">
      <selection activeCell="Z18" sqref="Z18"/>
    </sheetView>
  </sheetViews>
  <sheetFormatPr defaultRowHeight="15"/>
  <cols>
    <col min="1" max="1" width="31.140625" style="6" customWidth="1"/>
    <col min="2" max="2" width="4.140625" customWidth="1"/>
    <col min="12" max="12" width="7.5703125" customWidth="1"/>
    <col min="20" max="20" width="7" customWidth="1"/>
  </cols>
  <sheetData>
    <row r="2" spans="2:72" ht="37.5" customHeight="1" thickBot="1">
      <c r="C2" s="7" t="s">
        <v>27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2:72" ht="11.25" customHeight="1" thickTop="1"/>
    <row r="4" spans="2:72" ht="7.5" customHeigh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</row>
    <row r="5" spans="2:72" ht="7.5" customHeigh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</row>
    <row r="6" spans="2:72" ht="10.5" customHeight="1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</row>
    <row r="7" spans="2:72" ht="9.75" customHeight="1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</row>
    <row r="8" spans="2:72" ht="33" customHeight="1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</row>
    <row r="9" spans="2:72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</row>
    <row r="10" spans="2:72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</row>
    <row r="11" spans="2:72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</row>
    <row r="12" spans="2:7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</row>
    <row r="13" spans="2:72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</row>
    <row r="14" spans="2:72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</row>
    <row r="15" spans="2:72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</row>
    <row r="16" spans="2:72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</row>
    <row r="17" spans="2:71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</row>
    <row r="18" spans="2:71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5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</row>
    <row r="19" spans="2:71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</row>
    <row r="20" spans="2:71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</row>
    <row r="21" spans="2:71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</row>
    <row r="22" spans="2:71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</row>
    <row r="23" spans="2:71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</row>
    <row r="24" spans="2:71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</row>
    <row r="25" spans="2:71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</row>
    <row r="26" spans="2:71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</row>
    <row r="27" spans="2:71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</row>
    <row r="28" spans="2:71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</row>
    <row r="29" spans="2:71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</row>
    <row r="30" spans="2:71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</row>
    <row r="31" spans="2:71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</row>
    <row r="32" spans="2:71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</row>
    <row r="33" spans="2:71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</row>
    <row r="34" spans="2:71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</row>
    <row r="35" spans="2:71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</row>
    <row r="36" spans="2:71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</row>
    <row r="37" spans="2:71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</row>
    <row r="38" spans="2:71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</row>
    <row r="39" spans="2:71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</row>
    <row r="40" spans="2:71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</row>
    <row r="41" spans="2:7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</row>
    <row r="42" spans="2:71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</row>
    <row r="43" spans="2:71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</row>
    <row r="44" spans="2:71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</row>
    <row r="45" spans="2:7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</row>
    <row r="46" spans="2:7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</row>
    <row r="47" spans="2:7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</row>
    <row r="48" spans="2:7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</row>
    <row r="49" spans="2:7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</row>
    <row r="50" spans="2:7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</row>
    <row r="51" spans="2:7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</row>
    <row r="52" spans="2:7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</row>
    <row r="53" spans="2:7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</row>
    <row r="54" spans="2:71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</row>
    <row r="55" spans="2:71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</row>
    <row r="56" spans="2:71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</row>
    <row r="57" spans="2:71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</row>
    <row r="58" spans="2:71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</row>
    <row r="59" spans="2:71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</row>
    <row r="60" spans="2:71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</row>
    <row r="61" spans="2:7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</row>
    <row r="62" spans="2:71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</row>
    <row r="63" spans="2:71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</row>
    <row r="64" spans="2:71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</row>
    <row r="65" spans="2:7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</row>
    <row r="66" spans="2:7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</row>
    <row r="67" spans="2:71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</row>
    <row r="68" spans="2:71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</row>
    <row r="69" spans="2:7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</row>
    <row r="70" spans="2:7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</row>
    <row r="71" spans="2:7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</row>
    <row r="72" spans="2:7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</row>
    <row r="73" spans="2:7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</row>
    <row r="74" spans="2:7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</row>
    <row r="75" spans="2:7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</row>
    <row r="76" spans="2:7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</row>
    <row r="77" spans="2:7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</row>
    <row r="78" spans="2:71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</row>
    <row r="79" spans="2:71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</row>
    <row r="80" spans="2:71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</row>
    <row r="81" spans="2:7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</row>
    <row r="82" spans="2:71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</row>
    <row r="83" spans="2:71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</row>
    <row r="84" spans="2:7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</row>
    <row r="85" spans="2:7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</row>
    <row r="86" spans="2:71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</row>
    <row r="87" spans="2:71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</row>
    <row r="88" spans="2:71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</row>
    <row r="89" spans="2:71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</row>
    <row r="90" spans="2:7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</row>
    <row r="91" spans="2:7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</row>
    <row r="92" spans="2:7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</row>
    <row r="93" spans="2:7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</row>
    <row r="94" spans="2:71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</row>
    <row r="95" spans="2:7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</row>
    <row r="96" spans="2:7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</row>
    <row r="97" spans="2:71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</row>
    <row r="98" spans="2:71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</row>
    <row r="99" spans="2:71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</row>
    <row r="100" spans="2:71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</row>
    <row r="101" spans="2:71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</row>
    <row r="102" spans="2:71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</row>
    <row r="103" spans="2:71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</row>
    <row r="104" spans="2:71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</row>
    <row r="105" spans="2:71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</row>
    <row r="106" spans="2:7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</row>
    <row r="107" spans="2:7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</row>
    <row r="108" spans="2:7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</row>
    <row r="109" spans="2:7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</row>
  </sheetData>
  <pageMargins left="0.75" right="0.75" top="1" bottom="1" header="0.5" footer="0.5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Base</vt:lpstr>
      <vt:lpstr>Cálculos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Vanessa Ruama de Sousa Barros</cp:lastModifiedBy>
  <dcterms:created xsi:type="dcterms:W3CDTF">2026-05-20T23:06:08Z</dcterms:created>
  <dcterms:modified xsi:type="dcterms:W3CDTF">2026-05-21T00:22:47Z</dcterms:modified>
</cp:coreProperties>
</file>